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\OneDrive\바탕 화면\기업분석\비에이치아이\"/>
    </mc:Choice>
  </mc:AlternateContent>
  <xr:revisionPtr revIDLastSave="0" documentId="13_ncr:1_{5BA7F075-C9DC-463A-827F-06277CE54A80}" xr6:coauthVersionLast="47" xr6:coauthVersionMax="47" xr10:uidLastSave="{00000000-0000-0000-0000-000000000000}"/>
  <bookViews>
    <workbookView xWindow="2685" yWindow="810" windowWidth="22545" windowHeight="15045" activeTab="1" xr2:uid="{ABAE600A-027B-4DF1-9980-2F5D4B4AC706}"/>
  </bookViews>
  <sheets>
    <sheet name="Sheet6" sheetId="6" r:id="rId1"/>
    <sheet name="컨퍼런스콜" sheetId="7" r:id="rId2"/>
    <sheet name="Sheet1" sheetId="1" r:id="rId3"/>
    <sheet name="2025H1" sheetId="4" r:id="rId4"/>
    <sheet name="2024" sheetId="5" r:id="rId5"/>
    <sheet name="비용의 성격" sheetId="2" r:id="rId6"/>
    <sheet name="Sheet3" sheetId="3" r:id="rId7"/>
  </sheets>
  <definedNames>
    <definedName name="_xlnm._FilterDatabase" localSheetId="4" hidden="1">'2024'!$B$6:$M$6</definedName>
    <definedName name="_xlnm._FilterDatabase" localSheetId="3" hidden="1">'2025H1'!$B$6:$P$6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I3" i="5"/>
  <c r="M3" i="5"/>
  <c r="L3" i="5"/>
  <c r="K3" i="5"/>
  <c r="J3" i="5"/>
  <c r="I3" i="4"/>
  <c r="N3" i="4"/>
  <c r="M3" i="4"/>
  <c r="L3" i="4"/>
  <c r="J3" i="4"/>
  <c r="K3" i="4"/>
  <c r="T23" i="2"/>
  <c r="T24" i="2" s="1"/>
  <c r="S23" i="2"/>
  <c r="S24" i="2" s="1"/>
  <c r="T22" i="2"/>
  <c r="S22" i="2"/>
  <c r="T7" i="2"/>
  <c r="S7" i="2"/>
  <c r="U7" i="2"/>
  <c r="U23" i="2"/>
  <c r="U24" i="2" s="1"/>
  <c r="U22" i="2"/>
  <c r="V23" i="2"/>
  <c r="V24" i="2" s="1"/>
  <c r="V22" i="2"/>
  <c r="V7" i="2"/>
  <c r="W7" i="2"/>
  <c r="X7" i="2"/>
  <c r="W23" i="2"/>
  <c r="W24" i="2" s="1"/>
  <c r="W22" i="2"/>
  <c r="X24" i="2"/>
  <c r="X23" i="2"/>
  <c r="X22" i="2"/>
  <c r="I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H30" i="1"/>
  <c r="G30" i="1"/>
  <c r="F30" i="1"/>
  <c r="E30" i="1"/>
  <c r="D30" i="1"/>
  <c r="K27" i="1"/>
  <c r="J27" i="1"/>
  <c r="I27" i="1"/>
  <c r="H27" i="1"/>
  <c r="G27" i="1"/>
  <c r="F27" i="1"/>
  <c r="E27" i="1"/>
  <c r="D27" i="1"/>
  <c r="C27" i="1"/>
  <c r="B27" i="1"/>
  <c r="W22" i="1"/>
  <c r="W19" i="1"/>
  <c r="V19" i="1"/>
  <c r="U19" i="1"/>
  <c r="X7" i="1"/>
  <c r="W7" i="1"/>
  <c r="V7" i="1"/>
  <c r="W26" i="1"/>
  <c r="V26" i="1"/>
  <c r="W27" i="1"/>
  <c r="V27" i="1"/>
  <c r="U27" i="1"/>
  <c r="W15" i="1"/>
  <c r="V15" i="1"/>
  <c r="U15" i="1"/>
  <c r="W10" i="1"/>
  <c r="V10" i="1"/>
  <c r="U10" i="1"/>
  <c r="T10" i="1"/>
  <c r="S10" i="1"/>
  <c r="R10" i="1"/>
  <c r="U7" i="1"/>
  <c r="T7" i="1"/>
  <c r="S7" i="1"/>
  <c r="R7" i="1"/>
  <c r="T27" i="1"/>
  <c r="S27" i="1"/>
  <c r="R27" i="1"/>
  <c r="Q27" i="1"/>
  <c r="P27" i="1"/>
  <c r="O27" i="1"/>
  <c r="N27" i="1"/>
  <c r="U26" i="1"/>
  <c r="T26" i="1"/>
  <c r="S26" i="1"/>
  <c r="R26" i="1"/>
  <c r="Q26" i="1"/>
  <c r="P26" i="1"/>
  <c r="O26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V22" i="1"/>
  <c r="U22" i="1"/>
  <c r="T22" i="1"/>
  <c r="S22" i="1"/>
  <c r="R22" i="1"/>
  <c r="Q22" i="1"/>
  <c r="P22" i="1"/>
  <c r="O22" i="1"/>
  <c r="N22" i="1"/>
  <c r="T19" i="1"/>
  <c r="S19" i="1"/>
  <c r="R19" i="1"/>
  <c r="Q19" i="1"/>
  <c r="P19" i="1"/>
  <c r="O19" i="1"/>
  <c r="N19" i="1"/>
  <c r="T15" i="1"/>
  <c r="S15" i="1"/>
  <c r="R15" i="1"/>
  <c r="Q15" i="1"/>
  <c r="P15" i="1"/>
  <c r="O15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L27" i="1"/>
  <c r="M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M24" i="1"/>
  <c r="L24" i="1"/>
  <c r="K24" i="1"/>
  <c r="J24" i="1"/>
  <c r="I24" i="1"/>
  <c r="H24" i="1"/>
  <c r="M19" i="1"/>
  <c r="L19" i="1"/>
  <c r="K19" i="1"/>
  <c r="J19" i="1"/>
  <c r="I19" i="1"/>
  <c r="H19" i="1"/>
  <c r="N15" i="1"/>
  <c r="M15" i="1"/>
  <c r="L15" i="1"/>
  <c r="K15" i="1"/>
  <c r="J15" i="1"/>
  <c r="I15" i="1"/>
  <c r="H15" i="1"/>
  <c r="M22" i="1"/>
  <c r="L22" i="1"/>
  <c r="K22" i="1"/>
  <c r="J22" i="1"/>
  <c r="I22" i="1"/>
  <c r="H22" i="1"/>
  <c r="G22" i="1"/>
  <c r="F22" i="1"/>
  <c r="E22" i="1"/>
  <c r="G24" i="1"/>
  <c r="F24" i="1"/>
  <c r="E24" i="1"/>
  <c r="D24" i="1"/>
  <c r="C24" i="1"/>
  <c r="B24" i="1"/>
  <c r="D22" i="1"/>
  <c r="C22" i="1"/>
  <c r="B22" i="1"/>
  <c r="G19" i="1"/>
  <c r="F19" i="1"/>
  <c r="E19" i="1"/>
  <c r="D19" i="1"/>
  <c r="C19" i="1"/>
  <c r="B19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<sst xmlns="http://schemas.openxmlformats.org/spreadsheetml/2006/main" count="373" uniqueCount="123">
  <si>
    <t>유동자산</t>
    <phoneticPr fontId="1" type="noConversion"/>
  </si>
  <si>
    <t>비유동자산</t>
    <phoneticPr fontId="1" type="noConversion"/>
  </si>
  <si>
    <t>유동부채</t>
    <phoneticPr fontId="1" type="noConversion"/>
  </si>
  <si>
    <t>비유동부채</t>
    <phoneticPr fontId="1" type="noConversion"/>
  </si>
  <si>
    <t>자본</t>
    <phoneticPr fontId="1" type="noConversion"/>
  </si>
  <si>
    <t>자산총계</t>
    <phoneticPr fontId="1" type="noConversion"/>
  </si>
  <si>
    <t>백만원</t>
    <phoneticPr fontId="1" type="noConversion"/>
  </si>
  <si>
    <t>코스닥상장</t>
    <phoneticPr fontId="1" type="noConversion"/>
  </si>
  <si>
    <t>매출액</t>
    <phoneticPr fontId="1" type="noConversion"/>
  </si>
  <si>
    <t>매출원가</t>
    <phoneticPr fontId="1" type="noConversion"/>
  </si>
  <si>
    <t>매출총이익</t>
    <phoneticPr fontId="1" type="noConversion"/>
  </si>
  <si>
    <t>영업이익</t>
    <phoneticPr fontId="1" type="noConversion"/>
  </si>
  <si>
    <t>당기순이익</t>
    <phoneticPr fontId="1" type="noConversion"/>
  </si>
  <si>
    <t>%</t>
    <phoneticPr fontId="1" type="noConversion"/>
  </si>
  <si>
    <t>판관비</t>
    <phoneticPr fontId="1" type="noConversion"/>
  </si>
  <si>
    <t>수주잔고</t>
    <phoneticPr fontId="1" type="noConversion"/>
  </si>
  <si>
    <t>국내</t>
    <phoneticPr fontId="1" type="noConversion"/>
  </si>
  <si>
    <t>해외</t>
    <phoneticPr fontId="1" type="noConversion"/>
  </si>
  <si>
    <t>부채비율</t>
    <phoneticPr fontId="1" type="noConversion"/>
  </si>
  <si>
    <t>유동비율</t>
    <phoneticPr fontId="1" type="noConversion"/>
  </si>
  <si>
    <t>2025Q1</t>
    <phoneticPr fontId="1" type="noConversion"/>
  </si>
  <si>
    <t>증가율</t>
    <phoneticPr fontId="1" type="noConversion"/>
  </si>
  <si>
    <t>2025H1</t>
    <phoneticPr fontId="1" type="noConversion"/>
  </si>
  <si>
    <t>GPM(%)</t>
    <phoneticPr fontId="1" type="noConversion"/>
  </si>
  <si>
    <t>천원</t>
    <phoneticPr fontId="1" type="noConversion"/>
  </si>
  <si>
    <t>원재료</t>
    <phoneticPr fontId="1" type="noConversion"/>
  </si>
  <si>
    <t>급여</t>
    <phoneticPr fontId="1" type="noConversion"/>
  </si>
  <si>
    <t>감가상각비</t>
    <phoneticPr fontId="1" type="noConversion"/>
  </si>
  <si>
    <t>지급수수료</t>
    <phoneticPr fontId="1" type="noConversion"/>
  </si>
  <si>
    <t>임차료</t>
    <phoneticPr fontId="1" type="noConversion"/>
  </si>
  <si>
    <t>외주용역비</t>
    <phoneticPr fontId="1" type="noConversion"/>
  </si>
  <si>
    <t>운송료</t>
    <phoneticPr fontId="1" type="noConversion"/>
  </si>
  <si>
    <t>기타비용</t>
    <phoneticPr fontId="1" type="noConversion"/>
  </si>
  <si>
    <t>무형자산상각</t>
    <phoneticPr fontId="1" type="noConversion"/>
  </si>
  <si>
    <t>2025Q2</t>
    <phoneticPr fontId="1" type="noConversion"/>
  </si>
  <si>
    <t>비용합계</t>
    <phoneticPr fontId="1" type="noConversion"/>
  </si>
  <si>
    <t>외주가공업체</t>
    <phoneticPr fontId="1" type="noConversion"/>
  </si>
  <si>
    <t>이엠코</t>
    <phoneticPr fontId="1" type="noConversion"/>
  </si>
  <si>
    <t>양진이엔씨</t>
    <phoneticPr fontId="1" type="noConversion"/>
  </si>
  <si>
    <t>Amecc Mechanical Construction JSC</t>
    <phoneticPr fontId="1" type="noConversion"/>
  </si>
  <si>
    <t>지이파워서비스코리아</t>
    <phoneticPr fontId="1" type="noConversion"/>
  </si>
  <si>
    <t>대광이엔시</t>
    <phoneticPr fontId="1" type="noConversion"/>
  </si>
  <si>
    <t>No.</t>
  </si>
  <si>
    <t>신고일자</t>
  </si>
  <si>
    <t>계약내역</t>
  </si>
  <si>
    <t>계약금액총액</t>
  </si>
  <si>
    <t>판매/공급금액</t>
  </si>
  <si>
    <t>대금수령금액</t>
  </si>
  <si>
    <t>대금 미수령사유</t>
  </si>
  <si>
    <t>향후 추진계획</t>
  </si>
  <si>
    <t>계약명</t>
  </si>
  <si>
    <t>계약상대방</t>
  </si>
  <si>
    <t>계약종료일</t>
  </si>
  <si>
    <t>주요 계약조건</t>
  </si>
  <si>
    <t>조건부</t>
  </si>
  <si>
    <t>계약금액</t>
  </si>
  <si>
    <t>당기</t>
  </si>
  <si>
    <t>누적</t>
  </si>
  <si>
    <t>발전설비 공급계약 체결</t>
  </si>
  <si>
    <t>OJSC "Power machines"</t>
  </si>
  <si>
    <t>-</t>
  </si>
  <si>
    <t>현지 사정으로 공사 지연중에 있습니다.</t>
  </si>
  <si>
    <t>25년내 계약 변경하여 납품 및 대금 수령 예정이나 공사 진행과정에서 변동 가능성 있습니다.</t>
  </si>
  <si>
    <t>LNG 복합화력 발전설비 공급계약</t>
  </si>
  <si>
    <t>현대건설</t>
  </si>
  <si>
    <t>계약종료일까지 납품 및 대금 수령 예정이나 공사 진행과정에서 변동될 수 있습니다.</t>
  </si>
  <si>
    <t>현대건설  </t>
  </si>
  <si>
    <t>삼성물산</t>
  </si>
  <si>
    <t>현대제철</t>
  </si>
  <si>
    <t>대우건설</t>
  </si>
  <si>
    <t>씨지앤대산전력</t>
  </si>
  <si>
    <t>두산에너빌리티㈜</t>
  </si>
  <si>
    <t>TOSHIBA PLANT SYSTEMS AND SERVICES CORPORATION</t>
  </si>
  <si>
    <t>25년중 납품대금 수령예정 및 제작 진행중에 있습니다.</t>
  </si>
  <si>
    <t>SEPCOIII</t>
  </si>
  <si>
    <t>한화에너지 주식회사</t>
  </si>
  <si>
    <t>두산에너빌리티</t>
  </si>
  <si>
    <t>Toshiba Plant Systems and Services Corporation</t>
  </si>
  <si>
    <t>25년 8월 중도금 수령완료 및 제작 진행중에 있습니다.</t>
  </si>
  <si>
    <t>Samsung C&amp;T Corporation Saudi Arabia</t>
  </si>
  <si>
    <t>발전 EPC 공사 계약 체결</t>
  </si>
  <si>
    <t>한국지역난방공사</t>
  </si>
  <si>
    <t>26년중 중도금 수령예정 및 제작 진행중에 있습니다.</t>
  </si>
  <si>
    <t>주식회사 포스코</t>
  </si>
  <si>
    <t>25년중 중도금 수령예정 및 제작 진행중에 있습니다.</t>
  </si>
  <si>
    <t>한국남동발전㈜</t>
  </si>
  <si>
    <t>Alghanim International General Trading &amp; Construction</t>
  </si>
  <si>
    <t>선급금 : 유</t>
  </si>
  <si>
    <t>원자력 발전설비 공급계약</t>
  </si>
  <si>
    <t>한국수력원자력</t>
  </si>
  <si>
    <t>Harbin Electric International Co., Ltd.</t>
  </si>
  <si>
    <t>FUJI ELECTRIC Co Ltd</t>
  </si>
  <si>
    <t>25년 7월 선수금 수령완료 및 제작 진행중에 있습니다.</t>
  </si>
  <si>
    <t>25년중 선수금 수령예정 및 제작 진행중에 있습니다.</t>
  </si>
  <si>
    <t>단위: 백만원</t>
    <phoneticPr fontId="1" type="noConversion"/>
  </si>
  <si>
    <t>The Joint Venture of "PSP","PCI" and "PC"</t>
    <phoneticPr fontId="1" type="noConversion"/>
  </si>
  <si>
    <t>LNG 복합화력 발전설비</t>
  </si>
  <si>
    <t>화력발전소 환경설비</t>
  </si>
  <si>
    <t>KC코트렐</t>
  </si>
  <si>
    <t>MC-HDEC-CC1 Consortium</t>
  </si>
  <si>
    <t>(주)포스코건설</t>
  </si>
  <si>
    <t>Toshiba Plant Systems and</t>
  </si>
  <si>
    <t>Samsung C&amp;T Corporation</t>
  </si>
  <si>
    <t>발전 EPC 공사 계약</t>
  </si>
  <si>
    <t>잔고</t>
    <phoneticPr fontId="1" type="noConversion"/>
  </si>
  <si>
    <t>Alghanim International Gene</t>
    <phoneticPr fontId="1" type="noConversion"/>
  </si>
  <si>
    <t>지역</t>
    <phoneticPr fontId="1" type="noConversion"/>
  </si>
  <si>
    <t>동남아</t>
    <phoneticPr fontId="1" type="noConversion"/>
  </si>
  <si>
    <t>일본</t>
    <phoneticPr fontId="1" type="noConversion"/>
  </si>
  <si>
    <t>한국</t>
    <phoneticPr fontId="1" type="noConversion"/>
  </si>
  <si>
    <t>중국</t>
    <phoneticPr fontId="1" type="noConversion"/>
  </si>
  <si>
    <t>쿠웨이트</t>
    <phoneticPr fontId="1" type="noConversion"/>
  </si>
  <si>
    <t>OJSC "Power machines"</t>
    <phoneticPr fontId="1" type="noConversion"/>
  </si>
  <si>
    <t>러시아</t>
    <phoneticPr fontId="1" type="noConversion"/>
  </si>
  <si>
    <t>San miguel Global Power Hoidings Corp</t>
    <phoneticPr fontId="1" type="noConversion"/>
  </si>
  <si>
    <t>중국 HRSG ㅅ주</t>
    <phoneticPr fontId="1" type="noConversion"/>
  </si>
  <si>
    <t>SEPCO III(중국 국유 EPC, SEPCOⅢ Electric Power Construction)</t>
  </si>
  <si>
    <t>2017년 첫 수주</t>
    <phoneticPr fontId="1" type="noConversion"/>
  </si>
  <si>
    <t>범우이엔지는 2002년 10월 31일 중국의 CBPVI(China Boiler &amp; Pressure Vessel Institute)를 통해 수입 보일러 및 압력용기에 대해 부여되는 SQL(Safety Quality License)인증을 2002년 5월과 9월의 두차례 공장실사를 거쳐 획득하였습니다.</t>
  </si>
  <si>
    <t>SQL인증은 관련허가, 제조환경 및 품질시스템 전반을 검토하는 보일러 및 압력용기 관련 안전품질 허가제도로써 범우이엔지(주)는 중국시장에 진출하여 중국고객에게 고품질의 제품을 공급할수 있는 발판은 마련하였습니다.</t>
  </si>
  <si>
    <r>
      <t>2002</t>
    </r>
    <r>
      <rPr>
        <sz val="9"/>
        <color rgb="FF444444"/>
        <rFont val="맑은 고딕"/>
        <family val="2"/>
        <charset val="129"/>
      </rPr>
      <t>년</t>
    </r>
    <r>
      <rPr>
        <sz val="9"/>
        <color rgb="FF444444"/>
        <rFont val="Arial"/>
        <family val="2"/>
      </rPr>
      <t xml:space="preserve"> </t>
    </r>
    <r>
      <rPr>
        <sz val="9"/>
        <color rgb="FF444444"/>
        <rFont val="맑은 고딕"/>
        <family val="2"/>
        <charset val="129"/>
      </rPr>
      <t>중국의</t>
    </r>
    <r>
      <rPr>
        <sz val="9"/>
        <color rgb="FF444444"/>
        <rFont val="Arial"/>
        <family val="2"/>
      </rPr>
      <t xml:space="preserve"> SQL</t>
    </r>
    <r>
      <rPr>
        <sz val="9"/>
        <color rgb="FF444444"/>
        <rFont val="맑은 고딕"/>
        <family val="2"/>
        <charset val="129"/>
      </rPr>
      <t>인증</t>
    </r>
    <r>
      <rPr>
        <sz val="9"/>
        <color rgb="FF444444"/>
        <rFont val="Arial"/>
        <family val="2"/>
      </rPr>
      <t xml:space="preserve"> </t>
    </r>
    <r>
      <rPr>
        <sz val="9"/>
        <color rgb="FF444444"/>
        <rFont val="맑은 고딕"/>
        <family val="2"/>
        <charset val="129"/>
      </rPr>
      <t>획득</t>
    </r>
    <phoneticPr fontId="1" type="noConversion"/>
  </si>
  <si>
    <t>미국은 2009년 도시바로부터 미국 보글 서머 프로젝트 BOP를 수주해 납품</t>
    <phoneticPr fontId="1" type="noConversion"/>
  </si>
  <si>
    <t>UAE바라카 원전 납품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</si>
</sst>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9"/>
      <color rgb="FF444444"/>
      <name val="Arial"/>
      <family val="2"/>
    </font>
    <font>
      <sz val="9"/>
      <color rgb="FF444444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0" fillId="0" borderId="0" xfId="0" applyNumberFormat="1">
      <alignment vertical="center"/>
    </xf>
    <xf numFmtId="3" fontId="4" fillId="0" borderId="1" xfId="0" applyNumberFormat="1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0" fillId="0" borderId="0" xfId="0" applyNumberForma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NumberFormat="1" applyFont="1" applyFill="1" applyBorder="1" applyAlignment="1">
      <alignment vertical="center" wrapText="1"/>
    </xf>
    <xf numFmtId="0" fontId="4" fillId="2" borderId="4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6" xfId="0" applyNumberFormat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  <xf numFmtId="0" fontId="4" fillId="2" borderId="7" xfId="0" applyNumberFormat="1" applyFont="1" applyFill="1" applyBorder="1" applyAlignment="1">
      <alignment vertical="center" wrapText="1"/>
    </xf>
    <xf numFmtId="0" fontId="4" fillId="2" borderId="9" xfId="0" applyNumberFormat="1" applyFont="1" applyFill="1" applyBorder="1" applyAlignment="1">
      <alignment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5" fillId="0" borderId="16" xfId="0" applyFont="1" applyBorder="1" applyAlignment="1">
      <alignment vertical="center" wrapText="1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5E55-87A3-4310-A9A4-CF1B4C98AA9D}">
  <dimension ref="B3:B20"/>
  <sheetViews>
    <sheetView workbookViewId="0">
      <selection activeCell="B15" sqref="B15"/>
    </sheetView>
  </sheetViews>
  <sheetFormatPr defaultRowHeight="16.5" x14ac:dyDescent="0.3"/>
  <sheetData>
    <row r="3" spans="2:2" x14ac:dyDescent="0.3">
      <c r="B3" t="s">
        <v>115</v>
      </c>
    </row>
    <row r="5" spans="2:2" x14ac:dyDescent="0.3">
      <c r="B5" t="s">
        <v>116</v>
      </c>
    </row>
    <row r="7" spans="2:2" x14ac:dyDescent="0.3">
      <c r="B7" t="s">
        <v>117</v>
      </c>
    </row>
    <row r="8" spans="2:2" x14ac:dyDescent="0.3">
      <c r="B8" s="56" t="s">
        <v>118</v>
      </c>
    </row>
    <row r="9" spans="2:2" x14ac:dyDescent="0.3">
      <c r="B9" s="56"/>
    </row>
    <row r="10" spans="2:2" x14ac:dyDescent="0.3">
      <c r="B10" s="56" t="s">
        <v>119</v>
      </c>
    </row>
    <row r="12" spans="2:2" x14ac:dyDescent="0.3">
      <c r="B12" s="56" t="s">
        <v>120</v>
      </c>
    </row>
    <row r="19" spans="2:2" x14ac:dyDescent="0.3">
      <c r="B19" t="s">
        <v>121</v>
      </c>
    </row>
    <row r="20" spans="2:2" x14ac:dyDescent="0.3">
      <c r="B20" t="s">
        <v>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F62B-79A3-4BD4-92EB-85D2FD13B845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5CFA-4549-4AE8-9379-4DF41CCCB96B}">
  <dimension ref="A3:Z30"/>
  <sheetViews>
    <sheetView workbookViewId="0">
      <pane xSplit="1" topLeftCell="B1" activePane="topRight" state="frozen"/>
      <selection pane="topRight" activeCell="F16" sqref="F16"/>
    </sheetView>
  </sheetViews>
  <sheetFormatPr defaultRowHeight="16.5" x14ac:dyDescent="0.3"/>
  <cols>
    <col min="1" max="1" width="14.25" customWidth="1"/>
    <col min="2" max="2" width="12.75" style="1" bestFit="1" customWidth="1"/>
    <col min="3" max="3" width="12.25" style="1" customWidth="1"/>
    <col min="4" max="10" width="9" style="1"/>
    <col min="11" max="13" width="9.5" style="1" bestFit="1" customWidth="1"/>
    <col min="14" max="16" width="9" style="1"/>
    <col min="17" max="17" width="9.25" style="1" bestFit="1" customWidth="1"/>
    <col min="18" max="18" width="9" style="1"/>
  </cols>
  <sheetData>
    <row r="3" spans="1:24" x14ac:dyDescent="0.3">
      <c r="C3" s="1" t="s">
        <v>7</v>
      </c>
    </row>
    <row r="4" spans="1:24" s="2" customFormat="1" x14ac:dyDescent="0.3">
      <c r="A4" s="2" t="s">
        <v>6</v>
      </c>
      <c r="B4" s="2">
        <v>2004</v>
      </c>
      <c r="C4" s="2">
        <v>2005</v>
      </c>
      <c r="D4" s="2">
        <v>2006</v>
      </c>
      <c r="E4" s="2">
        <v>2007</v>
      </c>
      <c r="F4" s="2">
        <v>2008</v>
      </c>
      <c r="G4" s="2">
        <v>2009</v>
      </c>
      <c r="H4" s="2">
        <v>2010</v>
      </c>
      <c r="I4" s="2">
        <v>2011</v>
      </c>
      <c r="J4" s="2">
        <v>2012</v>
      </c>
      <c r="K4" s="2">
        <v>2013</v>
      </c>
      <c r="L4" s="2">
        <v>2014</v>
      </c>
      <c r="M4" s="2">
        <v>2015</v>
      </c>
      <c r="N4" s="2">
        <v>2016</v>
      </c>
      <c r="O4" s="2">
        <v>2017</v>
      </c>
      <c r="P4" s="2">
        <v>2018</v>
      </c>
      <c r="Q4" s="2">
        <v>2019</v>
      </c>
      <c r="R4" s="2">
        <v>2020</v>
      </c>
      <c r="S4" s="2">
        <v>2021</v>
      </c>
      <c r="T4" s="2">
        <v>2022</v>
      </c>
      <c r="U4" s="2">
        <v>2023</v>
      </c>
      <c r="V4" s="2">
        <v>2024</v>
      </c>
      <c r="W4" s="2" t="s">
        <v>20</v>
      </c>
    </row>
    <row r="5" spans="1:24" x14ac:dyDescent="0.3">
      <c r="A5" t="s">
        <v>0</v>
      </c>
      <c r="B5" s="1">
        <v>15203</v>
      </c>
      <c r="C5" s="1">
        <v>50696</v>
      </c>
      <c r="D5" s="1">
        <v>60575</v>
      </c>
      <c r="E5" s="1">
        <v>67230</v>
      </c>
      <c r="F5" s="1">
        <v>129996</v>
      </c>
      <c r="G5" s="1">
        <v>124122</v>
      </c>
      <c r="H5" s="1">
        <v>127181</v>
      </c>
      <c r="I5" s="1">
        <v>207653</v>
      </c>
      <c r="J5" s="1">
        <v>357606</v>
      </c>
      <c r="K5" s="1">
        <v>351079</v>
      </c>
      <c r="L5" s="1">
        <v>300190</v>
      </c>
      <c r="M5" s="1">
        <v>206906</v>
      </c>
      <c r="N5" s="1">
        <v>203083</v>
      </c>
      <c r="O5" s="1">
        <v>178813</v>
      </c>
      <c r="P5" s="1">
        <v>130878</v>
      </c>
      <c r="Q5" s="1">
        <v>140742</v>
      </c>
      <c r="R5" s="1">
        <v>134944</v>
      </c>
      <c r="S5" s="1">
        <v>135163</v>
      </c>
      <c r="T5" s="1">
        <v>202231</v>
      </c>
      <c r="U5" s="1">
        <v>188080</v>
      </c>
      <c r="V5" s="1">
        <v>247320</v>
      </c>
      <c r="W5" s="1">
        <v>367012</v>
      </c>
    </row>
    <row r="6" spans="1:24" x14ac:dyDescent="0.3">
      <c r="A6" t="s">
        <v>1</v>
      </c>
      <c r="B6" s="1">
        <v>10741</v>
      </c>
      <c r="C6" s="1">
        <v>18883</v>
      </c>
      <c r="D6" s="1">
        <v>30904</v>
      </c>
      <c r="E6" s="1">
        <v>48598</v>
      </c>
      <c r="F6" s="1">
        <v>135502</v>
      </c>
      <c r="G6" s="1">
        <v>138068</v>
      </c>
      <c r="H6" s="1">
        <v>148142</v>
      </c>
      <c r="I6" s="1">
        <v>162495</v>
      </c>
      <c r="J6" s="1">
        <v>223201</v>
      </c>
      <c r="K6" s="1">
        <v>218388</v>
      </c>
      <c r="L6" s="1">
        <v>235133</v>
      </c>
      <c r="M6" s="1">
        <v>248523</v>
      </c>
      <c r="N6" s="1">
        <v>243351</v>
      </c>
      <c r="O6" s="1">
        <v>244554</v>
      </c>
      <c r="P6" s="1">
        <v>234485</v>
      </c>
      <c r="Q6" s="1">
        <v>229421</v>
      </c>
      <c r="R6" s="1">
        <v>259359</v>
      </c>
      <c r="S6" s="1">
        <v>255076</v>
      </c>
      <c r="T6" s="1">
        <v>247143</v>
      </c>
      <c r="U6" s="1">
        <v>237369</v>
      </c>
      <c r="V6" s="1">
        <v>277455</v>
      </c>
      <c r="W6" s="1">
        <v>291990</v>
      </c>
    </row>
    <row r="7" spans="1:24" s="5" customFormat="1" x14ac:dyDescent="0.3">
      <c r="A7" s="5" t="s">
        <v>19</v>
      </c>
      <c r="B7" s="5">
        <f>B5/B8</f>
        <v>1.0223940820443846</v>
      </c>
      <c r="C7" s="5">
        <f t="shared" ref="C7:Q7" si="0">C5/C8</f>
        <v>2.127313163526499</v>
      </c>
      <c r="D7" s="5">
        <f t="shared" si="0"/>
        <v>2.1226828328135405</v>
      </c>
      <c r="E7" s="5">
        <f t="shared" si="0"/>
        <v>2.0134167889551078</v>
      </c>
      <c r="F7" s="5">
        <f t="shared" si="0"/>
        <v>0.84376825516337151</v>
      </c>
      <c r="G7" s="5">
        <f t="shared" si="0"/>
        <v>0.95169526613608135</v>
      </c>
      <c r="H7" s="5">
        <f t="shared" si="0"/>
        <v>1.1132498271228872</v>
      </c>
      <c r="I7" s="5">
        <f t="shared" si="0"/>
        <v>1.2380489608051226</v>
      </c>
      <c r="J7" s="5">
        <f t="shared" si="0"/>
        <v>1.2079773812057277</v>
      </c>
      <c r="K7" s="5">
        <f t="shared" si="0"/>
        <v>1.1909945789712937</v>
      </c>
      <c r="L7" s="5">
        <f t="shared" si="0"/>
        <v>0.8925566266063284</v>
      </c>
      <c r="M7" s="5">
        <f t="shared" si="0"/>
        <v>0.68637604620381032</v>
      </c>
      <c r="N7" s="5">
        <f t="shared" si="0"/>
        <v>0.64530202408566617</v>
      </c>
      <c r="O7" s="5">
        <f t="shared" si="0"/>
        <v>0.67723218512697181</v>
      </c>
      <c r="P7" s="5">
        <f t="shared" si="0"/>
        <v>0.5251989389920424</v>
      </c>
      <c r="Q7" s="5">
        <f t="shared" si="0"/>
        <v>0.60246564787466295</v>
      </c>
      <c r="R7" s="5">
        <f t="shared" ref="R7" si="1">R5/R8</f>
        <v>0.6081846042906075</v>
      </c>
      <c r="S7" s="5">
        <f t="shared" ref="S7" si="2">S5/S8</f>
        <v>0.54118019186726241</v>
      </c>
      <c r="T7" s="5">
        <f t="shared" ref="T7" si="3">T5/T8</f>
        <v>0.65257909937236802</v>
      </c>
      <c r="U7" s="5">
        <f t="shared" ref="U7" si="4">U5/U8</f>
        <v>0.58567269216995965</v>
      </c>
      <c r="V7" s="5">
        <f t="shared" ref="V7" si="5">V5/V8</f>
        <v>0.65100485647727724</v>
      </c>
      <c r="W7" s="5">
        <f t="shared" ref="W7" si="6">W5/W8</f>
        <v>0.72868709571101253</v>
      </c>
      <c r="X7" s="5" t="e">
        <f t="shared" ref="X7" si="7">X5/X8</f>
        <v>#DIV/0!</v>
      </c>
    </row>
    <row r="8" spans="1:24" x14ac:dyDescent="0.3">
      <c r="A8" t="s">
        <v>2</v>
      </c>
      <c r="B8" s="1">
        <v>14870</v>
      </c>
      <c r="C8" s="1">
        <v>23831</v>
      </c>
      <c r="D8" s="1">
        <v>28537</v>
      </c>
      <c r="E8" s="1">
        <v>33391</v>
      </c>
      <c r="F8" s="1">
        <v>154066</v>
      </c>
      <c r="G8" s="1">
        <v>130422</v>
      </c>
      <c r="H8" s="1">
        <v>114243</v>
      </c>
      <c r="I8" s="1">
        <v>167726</v>
      </c>
      <c r="J8" s="1">
        <v>296037</v>
      </c>
      <c r="K8" s="1">
        <v>294778</v>
      </c>
      <c r="L8" s="1">
        <v>336326</v>
      </c>
      <c r="M8" s="1">
        <v>301447</v>
      </c>
      <c r="N8" s="1">
        <v>314710</v>
      </c>
      <c r="O8" s="1">
        <v>264035</v>
      </c>
      <c r="P8" s="1">
        <v>249197</v>
      </c>
      <c r="Q8" s="1">
        <v>233610</v>
      </c>
      <c r="R8" s="1">
        <v>221880</v>
      </c>
      <c r="S8" s="1">
        <v>249756</v>
      </c>
      <c r="T8" s="1">
        <v>309895</v>
      </c>
      <c r="U8" s="1">
        <v>321135</v>
      </c>
      <c r="V8" s="1">
        <v>379905</v>
      </c>
      <c r="W8" s="1">
        <v>503662</v>
      </c>
    </row>
    <row r="9" spans="1:24" x14ac:dyDescent="0.3">
      <c r="A9" t="s">
        <v>3</v>
      </c>
      <c r="B9" s="1">
        <v>2712</v>
      </c>
      <c r="C9" s="1">
        <v>9706</v>
      </c>
      <c r="D9" s="1">
        <v>21372</v>
      </c>
      <c r="E9" s="1">
        <v>41053</v>
      </c>
      <c r="F9" s="1">
        <v>61733</v>
      </c>
      <c r="G9" s="1">
        <v>51439</v>
      </c>
      <c r="H9" s="1">
        <v>68049</v>
      </c>
      <c r="I9" s="1">
        <v>104402</v>
      </c>
      <c r="J9" s="1">
        <v>148744</v>
      </c>
      <c r="K9" s="1">
        <v>118277</v>
      </c>
      <c r="L9" s="1">
        <v>67229</v>
      </c>
      <c r="M9" s="1">
        <v>65018</v>
      </c>
      <c r="N9" s="1">
        <v>32034</v>
      </c>
      <c r="O9" s="1">
        <v>47459</v>
      </c>
      <c r="P9" s="1">
        <v>32199</v>
      </c>
      <c r="Q9" s="1">
        <v>66693</v>
      </c>
      <c r="R9" s="1">
        <v>74322</v>
      </c>
      <c r="S9" s="1">
        <v>76079</v>
      </c>
      <c r="T9" s="1">
        <v>89940</v>
      </c>
      <c r="U9" s="1">
        <v>30611</v>
      </c>
      <c r="V9" s="1">
        <v>28424</v>
      </c>
      <c r="W9" s="1">
        <v>30872</v>
      </c>
    </row>
    <row r="10" spans="1:24" s="5" customFormat="1" x14ac:dyDescent="0.3">
      <c r="A10" s="5" t="s">
        <v>18</v>
      </c>
      <c r="B10" s="5">
        <f>(B8+B9)/B11</f>
        <v>2.1026070318105718</v>
      </c>
      <c r="C10" s="5">
        <f t="shared" ref="C10:Q10" si="8">(C8+C9)/C11</f>
        <v>0.93049775262194112</v>
      </c>
      <c r="D10" s="5">
        <f t="shared" si="8"/>
        <v>1.2006013952369496</v>
      </c>
      <c r="E10" s="5">
        <f t="shared" si="8"/>
        <v>1.7989029311553053</v>
      </c>
      <c r="F10" s="5">
        <f t="shared" si="8"/>
        <v>4.3421195597496931</v>
      </c>
      <c r="G10" s="5">
        <f t="shared" si="8"/>
        <v>2.2639519974106488</v>
      </c>
      <c r="H10" s="5">
        <f t="shared" si="8"/>
        <v>1.9594969364721058</v>
      </c>
      <c r="I10" s="5">
        <f t="shared" si="8"/>
        <v>2.7762780685377324</v>
      </c>
      <c r="J10" s="5">
        <f t="shared" si="8"/>
        <v>3.2698234161116257</v>
      </c>
      <c r="K10" s="5">
        <f t="shared" si="8"/>
        <v>2.6408308878531561</v>
      </c>
      <c r="L10" s="5">
        <f t="shared" si="8"/>
        <v>3.0626408736633604</v>
      </c>
      <c r="M10" s="5">
        <f t="shared" si="8"/>
        <v>4.1192967863044183</v>
      </c>
      <c r="N10" s="5">
        <f t="shared" si="8"/>
        <v>3.4782573804532095</v>
      </c>
      <c r="O10" s="5">
        <f t="shared" si="8"/>
        <v>2.7843785755148742</v>
      </c>
      <c r="P10" s="5">
        <f t="shared" si="8"/>
        <v>3.3513088631112593</v>
      </c>
      <c r="Q10" s="5">
        <f t="shared" si="8"/>
        <v>4.2987016705077368</v>
      </c>
      <c r="R10" s="5">
        <f t="shared" ref="R10" si="9">(R8+R9)/R11</f>
        <v>3.0193576008399505</v>
      </c>
      <c r="S10" s="5">
        <f t="shared" ref="S10" si="10">(S8+S9)/S11</f>
        <v>5.0593140071114702</v>
      </c>
      <c r="T10" s="5">
        <f t="shared" ref="T10" si="11">(T8+T9)/T11</f>
        <v>8.0712786143970288</v>
      </c>
      <c r="U10" s="5">
        <f t="shared" ref="U10" si="12">(U8+U9)/U11</f>
        <v>4.7725434859298259</v>
      </c>
      <c r="V10" s="5">
        <f t="shared" ref="V10" si="13">(V8+V9)/V11</f>
        <v>3.5065953317417518</v>
      </c>
      <c r="W10" s="5">
        <f t="shared" ref="W10" si="14">(W8+W9)/W11</f>
        <v>4.2945841066306736</v>
      </c>
    </row>
    <row r="11" spans="1:24" x14ac:dyDescent="0.3">
      <c r="A11" t="s">
        <v>4</v>
      </c>
      <c r="B11" s="1">
        <v>8362</v>
      </c>
      <c r="C11" s="1">
        <v>36042</v>
      </c>
      <c r="D11" s="1">
        <v>41570</v>
      </c>
      <c r="E11" s="1">
        <v>41383</v>
      </c>
      <c r="F11" s="1">
        <v>49699</v>
      </c>
      <c r="G11" s="1">
        <v>80329</v>
      </c>
      <c r="H11" s="1">
        <v>93030</v>
      </c>
      <c r="I11" s="1">
        <v>98019</v>
      </c>
      <c r="J11" s="1">
        <v>136026</v>
      </c>
      <c r="K11" s="1">
        <v>156411</v>
      </c>
      <c r="L11" s="1">
        <v>131767</v>
      </c>
      <c r="M11" s="1">
        <v>88963</v>
      </c>
      <c r="N11" s="1">
        <v>99689</v>
      </c>
      <c r="O11" s="1">
        <v>111872</v>
      </c>
      <c r="P11" s="1">
        <v>83966</v>
      </c>
      <c r="Q11" s="1">
        <v>69859</v>
      </c>
      <c r="R11" s="1">
        <v>98101</v>
      </c>
      <c r="S11" s="1">
        <v>64403</v>
      </c>
      <c r="T11" s="1">
        <v>49538</v>
      </c>
      <c r="U11" s="1">
        <v>73702</v>
      </c>
      <c r="V11" s="1">
        <v>116446</v>
      </c>
      <c r="W11" s="1">
        <v>124467</v>
      </c>
    </row>
    <row r="12" spans="1:24" ht="17.25" customHeight="1" x14ac:dyDescent="0.3">
      <c r="A12" t="s">
        <v>5</v>
      </c>
      <c r="B12" s="1">
        <v>25945</v>
      </c>
      <c r="C12" s="1">
        <v>69579</v>
      </c>
      <c r="D12" s="1">
        <v>91480</v>
      </c>
      <c r="E12" s="1">
        <v>115828</v>
      </c>
      <c r="F12" s="1">
        <v>265499</v>
      </c>
      <c r="G12" s="1">
        <v>262191</v>
      </c>
      <c r="H12" s="1">
        <v>280139</v>
      </c>
      <c r="I12" s="1">
        <v>369864</v>
      </c>
      <c r="J12" s="1">
        <v>586250</v>
      </c>
      <c r="K12" s="1">
        <v>569468</v>
      </c>
      <c r="L12" s="1">
        <v>535323</v>
      </c>
      <c r="M12" s="1">
        <v>455429</v>
      </c>
      <c r="N12" s="1">
        <v>446434</v>
      </c>
      <c r="O12" s="1">
        <v>423367</v>
      </c>
      <c r="P12" s="1">
        <v>365363</v>
      </c>
      <c r="Q12" s="1">
        <v>370163</v>
      </c>
      <c r="R12" s="1">
        <v>394304</v>
      </c>
      <c r="S12" s="1">
        <v>390239</v>
      </c>
      <c r="T12" s="1">
        <v>449374</v>
      </c>
      <c r="U12" s="1">
        <v>425449</v>
      </c>
      <c r="V12" s="1">
        <v>524776</v>
      </c>
      <c r="W12" s="1">
        <v>659003</v>
      </c>
    </row>
    <row r="15" spans="1:24" x14ac:dyDescent="0.3">
      <c r="B15" s="2">
        <f>B4</f>
        <v>2004</v>
      </c>
      <c r="C15" s="2">
        <f t="shared" ref="C15:W15" si="15">C4</f>
        <v>2005</v>
      </c>
      <c r="D15" s="2">
        <f t="shared" si="15"/>
        <v>2006</v>
      </c>
      <c r="E15" s="2">
        <f t="shared" si="15"/>
        <v>2007</v>
      </c>
      <c r="F15" s="2">
        <f t="shared" si="15"/>
        <v>2008</v>
      </c>
      <c r="G15" s="2">
        <f t="shared" si="15"/>
        <v>2009</v>
      </c>
      <c r="H15" s="2">
        <f t="shared" si="15"/>
        <v>2010</v>
      </c>
      <c r="I15" s="2">
        <f t="shared" si="15"/>
        <v>2011</v>
      </c>
      <c r="J15" s="2">
        <f t="shared" si="15"/>
        <v>2012</v>
      </c>
      <c r="K15" s="7">
        <f t="shared" si="15"/>
        <v>2013</v>
      </c>
      <c r="L15" s="2">
        <f t="shared" si="15"/>
        <v>2014</v>
      </c>
      <c r="M15" s="2">
        <f t="shared" si="15"/>
        <v>2015</v>
      </c>
      <c r="N15" s="2">
        <f t="shared" si="15"/>
        <v>2016</v>
      </c>
      <c r="O15" s="2">
        <f t="shared" si="15"/>
        <v>2017</v>
      </c>
      <c r="P15" s="2">
        <f t="shared" si="15"/>
        <v>2018</v>
      </c>
      <c r="Q15" s="2">
        <f t="shared" si="15"/>
        <v>2019</v>
      </c>
      <c r="R15" s="2">
        <f t="shared" si="15"/>
        <v>2020</v>
      </c>
      <c r="S15" s="2">
        <f t="shared" si="15"/>
        <v>2021</v>
      </c>
      <c r="T15" s="2">
        <f t="shared" si="15"/>
        <v>2022</v>
      </c>
      <c r="U15" s="2">
        <f t="shared" si="15"/>
        <v>2023</v>
      </c>
      <c r="V15" s="2">
        <f t="shared" si="15"/>
        <v>2024</v>
      </c>
      <c r="W15" s="2" t="str">
        <f t="shared" si="15"/>
        <v>2025Q1</v>
      </c>
    </row>
    <row r="16" spans="1:24" x14ac:dyDescent="0.3">
      <c r="A16" t="s">
        <v>8</v>
      </c>
      <c r="B16" s="1">
        <v>36867</v>
      </c>
      <c r="C16" s="1">
        <v>70803</v>
      </c>
      <c r="D16" s="1">
        <v>62420</v>
      </c>
      <c r="E16" s="1">
        <v>63664</v>
      </c>
      <c r="F16" s="1">
        <v>150637</v>
      </c>
      <c r="G16" s="1">
        <v>266082</v>
      </c>
      <c r="H16" s="1">
        <v>176256</v>
      </c>
      <c r="I16" s="1">
        <v>244437</v>
      </c>
      <c r="J16" s="1">
        <v>502109</v>
      </c>
      <c r="K16" s="1">
        <v>619892</v>
      </c>
      <c r="L16" s="1">
        <v>497048</v>
      </c>
      <c r="M16" s="1">
        <v>356421</v>
      </c>
      <c r="N16" s="1">
        <v>313183</v>
      </c>
      <c r="O16" s="1">
        <v>325171</v>
      </c>
      <c r="P16" s="1">
        <v>211817</v>
      </c>
      <c r="Q16" s="1">
        <v>222852</v>
      </c>
      <c r="R16" s="1">
        <v>243441</v>
      </c>
      <c r="S16" s="1">
        <v>234883</v>
      </c>
      <c r="T16" s="1">
        <v>330197</v>
      </c>
      <c r="U16" s="1">
        <v>367399</v>
      </c>
      <c r="V16" s="1">
        <v>404741</v>
      </c>
      <c r="W16" s="1">
        <v>135274</v>
      </c>
    </row>
    <row r="17" spans="1:26" x14ac:dyDescent="0.3">
      <c r="A17" t="s">
        <v>9</v>
      </c>
      <c r="B17" s="1">
        <v>29979</v>
      </c>
      <c r="C17" s="1">
        <v>54899</v>
      </c>
      <c r="D17" s="1">
        <v>50198</v>
      </c>
      <c r="E17" s="1">
        <v>54530</v>
      </c>
      <c r="F17" s="1">
        <v>123959</v>
      </c>
      <c r="G17" s="1">
        <v>220542</v>
      </c>
      <c r="H17" s="1">
        <v>129883</v>
      </c>
      <c r="I17" s="1">
        <v>206729</v>
      </c>
      <c r="J17" s="1">
        <v>450219</v>
      </c>
      <c r="K17" s="1">
        <v>564346</v>
      </c>
      <c r="L17" s="1">
        <v>462551</v>
      </c>
      <c r="M17" s="1">
        <v>366216</v>
      </c>
      <c r="N17" s="1">
        <v>266427</v>
      </c>
      <c r="O17" s="1">
        <v>283237</v>
      </c>
      <c r="P17" s="1">
        <v>207334</v>
      </c>
      <c r="Q17" s="1">
        <v>214342</v>
      </c>
      <c r="R17" s="1">
        <v>209367</v>
      </c>
      <c r="S17" s="1">
        <v>241249</v>
      </c>
      <c r="T17" s="1">
        <v>295265</v>
      </c>
      <c r="U17" s="1">
        <v>323957</v>
      </c>
      <c r="V17" s="1">
        <v>345623</v>
      </c>
      <c r="W17" s="1">
        <v>112488</v>
      </c>
    </row>
    <row r="18" spans="1:26" x14ac:dyDescent="0.3">
      <c r="A18" t="s">
        <v>10</v>
      </c>
      <c r="B18" s="1">
        <v>6888</v>
      </c>
      <c r="C18" s="1">
        <v>15903</v>
      </c>
      <c r="D18" s="1">
        <v>12222</v>
      </c>
      <c r="E18" s="1">
        <v>9133</v>
      </c>
      <c r="F18" s="1">
        <v>26677</v>
      </c>
      <c r="G18" s="1">
        <v>45539</v>
      </c>
      <c r="H18" s="1">
        <v>46373</v>
      </c>
      <c r="I18" s="1">
        <v>37708</v>
      </c>
      <c r="J18" s="1">
        <v>51889</v>
      </c>
      <c r="K18" s="1">
        <v>55545</v>
      </c>
      <c r="L18" s="1">
        <v>34496</v>
      </c>
      <c r="M18" s="1">
        <v>-9795</v>
      </c>
      <c r="N18" s="1">
        <v>46755</v>
      </c>
      <c r="O18" s="1">
        <v>41934</v>
      </c>
      <c r="P18" s="1">
        <v>4483</v>
      </c>
      <c r="Q18" s="1">
        <v>8509</v>
      </c>
      <c r="R18" s="1">
        <v>34073</v>
      </c>
      <c r="S18" s="1">
        <v>-6365</v>
      </c>
      <c r="T18" s="1">
        <v>34931</v>
      </c>
      <c r="U18" s="1">
        <v>43441</v>
      </c>
      <c r="V18" s="1">
        <v>59118</v>
      </c>
      <c r="W18" s="1">
        <v>22785</v>
      </c>
    </row>
    <row r="19" spans="1:26" s="5" customFormat="1" x14ac:dyDescent="0.3">
      <c r="A19" s="4" t="s">
        <v>13</v>
      </c>
      <c r="B19" s="5">
        <f>B18/B16</f>
        <v>0.18683375376352837</v>
      </c>
      <c r="C19" s="5">
        <f t="shared" ref="C19:G19" si="16">C18/C16</f>
        <v>0.22460912673191813</v>
      </c>
      <c r="D19" s="5">
        <f t="shared" si="16"/>
        <v>0.19580262736302467</v>
      </c>
      <c r="E19" s="5">
        <f t="shared" si="16"/>
        <v>0.14345627041970344</v>
      </c>
      <c r="F19" s="5">
        <f t="shared" si="16"/>
        <v>0.17709460491114401</v>
      </c>
      <c r="G19" s="5">
        <f t="shared" si="16"/>
        <v>0.17114648867642307</v>
      </c>
      <c r="H19" s="5">
        <f t="shared" ref="H19" si="17">H18/H16</f>
        <v>0.26310026325344954</v>
      </c>
      <c r="I19" s="5">
        <f t="shared" ref="I19" si="18">I18/I16</f>
        <v>0.15426469806125914</v>
      </c>
      <c r="J19" s="5">
        <f t="shared" ref="J19" si="19">J18/J16</f>
        <v>0.1033421030095059</v>
      </c>
      <c r="K19" s="5">
        <f t="shared" ref="K19" si="20">K18/K16</f>
        <v>8.9604318171552469E-2</v>
      </c>
      <c r="L19" s="5">
        <f t="shared" ref="L19" si="21">L18/L16</f>
        <v>6.940174791971801E-2</v>
      </c>
      <c r="M19" s="5">
        <f t="shared" ref="M19" si="22">M18/M16</f>
        <v>-2.7481545700169183E-2</v>
      </c>
      <c r="N19" s="5">
        <f t="shared" ref="N19" si="23">N18/N16</f>
        <v>0.14928971240456856</v>
      </c>
      <c r="O19" s="5">
        <f t="shared" ref="O19" si="24">O18/O16</f>
        <v>0.12895983959209154</v>
      </c>
      <c r="P19" s="5">
        <f t="shared" ref="P19" si="25">P18/P16</f>
        <v>2.1164495767572952E-2</v>
      </c>
      <c r="Q19" s="5">
        <f t="shared" ref="Q19" si="26">Q18/Q16</f>
        <v>3.818229138621148E-2</v>
      </c>
      <c r="R19" s="5">
        <f t="shared" ref="R19" si="27">R18/R16</f>
        <v>0.13996409807715215</v>
      </c>
      <c r="S19" s="5">
        <f t="shared" ref="S19" si="28">S18/S16</f>
        <v>-2.7098598025399882E-2</v>
      </c>
      <c r="T19" s="5">
        <f t="shared" ref="T19" si="29">T18/T16</f>
        <v>0.10578836270468842</v>
      </c>
      <c r="U19" s="5">
        <f t="shared" ref="U19" si="30">U18/U16</f>
        <v>0.11823929841942955</v>
      </c>
      <c r="V19" s="5">
        <f t="shared" ref="V19" si="31">V18/V16</f>
        <v>0.14606377905870668</v>
      </c>
      <c r="W19" s="5">
        <f t="shared" ref="W19" si="32">W18/W16</f>
        <v>0.16843591525348553</v>
      </c>
    </row>
    <row r="20" spans="1:26" s="1" customFormat="1" x14ac:dyDescent="0.3">
      <c r="A20" s="1" t="s">
        <v>14</v>
      </c>
      <c r="K20" s="1">
        <v>32265</v>
      </c>
      <c r="L20" s="1">
        <v>35129</v>
      </c>
      <c r="M20" s="1">
        <v>31260</v>
      </c>
      <c r="N20" s="1">
        <v>31813</v>
      </c>
      <c r="O20" s="1">
        <v>22798</v>
      </c>
      <c r="P20" s="1">
        <v>27740</v>
      </c>
      <c r="Q20" s="1">
        <v>20971</v>
      </c>
      <c r="R20" s="1">
        <v>22807</v>
      </c>
      <c r="S20" s="1">
        <v>24245</v>
      </c>
      <c r="T20" s="1">
        <v>26823</v>
      </c>
      <c r="U20" s="1">
        <v>28354</v>
      </c>
      <c r="V20" s="1">
        <v>37190</v>
      </c>
      <c r="W20" s="1">
        <v>10342</v>
      </c>
    </row>
    <row r="21" spans="1:26" x14ac:dyDescent="0.3">
      <c r="A21" t="s">
        <v>11</v>
      </c>
      <c r="B21" s="1">
        <v>3409</v>
      </c>
      <c r="C21" s="1">
        <v>10347</v>
      </c>
      <c r="D21" s="1">
        <v>5644</v>
      </c>
      <c r="E21" s="1">
        <v>1682</v>
      </c>
      <c r="F21" s="1">
        <v>12926</v>
      </c>
      <c r="G21" s="1">
        <v>25719</v>
      </c>
      <c r="H21" s="1">
        <v>23135</v>
      </c>
      <c r="I21" s="1">
        <v>16196</v>
      </c>
      <c r="J21" s="1">
        <v>25064</v>
      </c>
      <c r="K21" s="1">
        <v>23280</v>
      </c>
      <c r="L21" s="1">
        <v>-633</v>
      </c>
      <c r="M21" s="1">
        <v>-41055</v>
      </c>
      <c r="N21" s="1">
        <v>14941</v>
      </c>
      <c r="O21" s="1">
        <v>19136</v>
      </c>
      <c r="P21" s="1">
        <v>-23256</v>
      </c>
      <c r="Q21" s="1">
        <v>-12462</v>
      </c>
      <c r="R21" s="1">
        <v>11266</v>
      </c>
      <c r="S21" s="1">
        <v>-30610</v>
      </c>
      <c r="T21" s="1">
        <v>8108</v>
      </c>
      <c r="U21" s="1">
        <v>15086</v>
      </c>
      <c r="V21" s="1">
        <v>21927</v>
      </c>
      <c r="W21" s="1">
        <v>12442</v>
      </c>
    </row>
    <row r="22" spans="1:26" s="5" customFormat="1" x14ac:dyDescent="0.3">
      <c r="A22" s="4" t="s">
        <v>13</v>
      </c>
      <c r="B22" s="5">
        <f>B21/B16</f>
        <v>9.2467518376868202E-2</v>
      </c>
      <c r="C22" s="5">
        <f t="shared" ref="C22:D22" si="33">C21/C16</f>
        <v>0.1461378755137494</v>
      </c>
      <c r="D22" s="5">
        <f t="shared" si="33"/>
        <v>9.0419737263697536E-2</v>
      </c>
      <c r="E22" s="5">
        <f t="shared" ref="E22" si="34">E21/E16</f>
        <v>2.6419954762503143E-2</v>
      </c>
      <c r="F22" s="5">
        <f t="shared" ref="F22" si="35">F21/F16</f>
        <v>8.5808931404634983E-2</v>
      </c>
      <c r="G22" s="5">
        <f t="shared" ref="G22" si="36">G21/G16</f>
        <v>9.6658173044399845E-2</v>
      </c>
      <c r="H22" s="5">
        <f t="shared" ref="H22" si="37">H21/H16</f>
        <v>0.13125794299201163</v>
      </c>
      <c r="I22" s="5">
        <f t="shared" ref="I22" si="38">I21/I16</f>
        <v>6.6258381505254926E-2</v>
      </c>
      <c r="J22" s="5">
        <f t="shared" ref="J22" si="39">J21/J16</f>
        <v>4.9917448203477731E-2</v>
      </c>
      <c r="K22" s="5">
        <f t="shared" ref="K22" si="40">K21/K16</f>
        <v>3.7554928923102734E-2</v>
      </c>
      <c r="L22" s="5">
        <f t="shared" ref="L22" si="41">L21/L16</f>
        <v>-1.2735188553218201E-3</v>
      </c>
      <c r="M22" s="5">
        <f t="shared" ref="M22" si="42">M21/M16</f>
        <v>-0.11518681559167389</v>
      </c>
      <c r="N22" s="5">
        <f t="shared" ref="N22" si="43">N21/N16</f>
        <v>4.7706931730010886E-2</v>
      </c>
      <c r="O22" s="5">
        <f t="shared" ref="O22" si="44">O21/O16</f>
        <v>5.8849036353180326E-2</v>
      </c>
      <c r="P22" s="5">
        <f t="shared" ref="P22" si="45">P21/P16</f>
        <v>-0.1097928872564525</v>
      </c>
      <c r="Q22" s="5">
        <f t="shared" ref="Q22" si="46">Q21/Q16</f>
        <v>-5.5920521242797908E-2</v>
      </c>
      <c r="R22" s="5">
        <f t="shared" ref="R22" si="47">R21/R16</f>
        <v>4.6278153638869376E-2</v>
      </c>
      <c r="S22" s="5">
        <f t="shared" ref="S22" si="48">S21/S16</f>
        <v>-0.13032020197289715</v>
      </c>
      <c r="T22" s="5">
        <f t="shared" ref="T22" si="49">T21/T16</f>
        <v>2.4555038355890575E-2</v>
      </c>
      <c r="U22" s="5">
        <f t="shared" ref="U22" si="50">U21/U16</f>
        <v>4.1061625099687263E-2</v>
      </c>
      <c r="V22" s="5">
        <f t="shared" ref="V22:W22" si="51">V21/V16</f>
        <v>5.4175386234653768E-2</v>
      </c>
      <c r="W22" s="5">
        <f t="shared" si="51"/>
        <v>9.1976285169359961E-2</v>
      </c>
    </row>
    <row r="23" spans="1:26" x14ac:dyDescent="0.3">
      <c r="A23" t="s">
        <v>12</v>
      </c>
      <c r="B23" s="1">
        <v>2537</v>
      </c>
      <c r="C23" s="1">
        <v>8315</v>
      </c>
      <c r="D23" s="1">
        <v>6405</v>
      </c>
      <c r="E23" s="1">
        <v>3067</v>
      </c>
      <c r="F23" s="1">
        <v>-8810</v>
      </c>
      <c r="G23" s="1">
        <v>22538</v>
      </c>
      <c r="H23" s="1">
        <v>21374</v>
      </c>
      <c r="I23" s="1">
        <v>8509</v>
      </c>
      <c r="J23" s="1">
        <v>23951</v>
      </c>
      <c r="K23" s="1">
        <v>14816</v>
      </c>
      <c r="L23" s="1">
        <v>-19230</v>
      </c>
      <c r="M23" s="1">
        <v>-67238</v>
      </c>
      <c r="N23" s="1">
        <v>10130</v>
      </c>
      <c r="O23" s="1">
        <v>8144</v>
      </c>
      <c r="P23" s="1">
        <v>-29627</v>
      </c>
      <c r="Q23" s="1">
        <v>-14779</v>
      </c>
      <c r="R23" s="1">
        <v>4562</v>
      </c>
      <c r="S23" s="1">
        <v>-34587</v>
      </c>
      <c r="T23" s="1">
        <v>-19117</v>
      </c>
      <c r="U23" s="1">
        <v>7463</v>
      </c>
      <c r="V23" s="1">
        <v>19585</v>
      </c>
      <c r="W23" s="1">
        <v>8680</v>
      </c>
    </row>
    <row r="24" spans="1:26" s="5" customFormat="1" x14ac:dyDescent="0.3">
      <c r="A24" s="4" t="s">
        <v>13</v>
      </c>
      <c r="B24" s="5">
        <f>B23/B16</f>
        <v>6.881492934060271E-2</v>
      </c>
      <c r="C24" s="5">
        <f t="shared" ref="C24:G24" si="52">C23/C16</f>
        <v>0.11743852661610384</v>
      </c>
      <c r="D24" s="5">
        <f t="shared" si="52"/>
        <v>0.10261134251842358</v>
      </c>
      <c r="E24" s="5">
        <f t="shared" si="52"/>
        <v>4.8174792661472732E-2</v>
      </c>
      <c r="F24" s="5">
        <f t="shared" si="52"/>
        <v>-5.8484967172739766E-2</v>
      </c>
      <c r="G24" s="5">
        <f t="shared" si="52"/>
        <v>8.4703211791853639E-2</v>
      </c>
      <c r="H24" s="5">
        <f t="shared" ref="H24" si="53">H23/H16</f>
        <v>0.12126679375453885</v>
      </c>
      <c r="I24" s="5">
        <f t="shared" ref="I24" si="54">I23/I16</f>
        <v>3.4810605595715867E-2</v>
      </c>
      <c r="J24" s="5">
        <f t="shared" ref="J24" si="55">J23/J16</f>
        <v>4.7700798033893037E-2</v>
      </c>
      <c r="K24" s="5">
        <f t="shared" ref="K24" si="56">K23/K16</f>
        <v>2.3900937582675693E-2</v>
      </c>
      <c r="L24" s="5">
        <f t="shared" ref="L24" si="57">L23/L16</f>
        <v>-3.8688416410487515E-2</v>
      </c>
      <c r="M24" s="5">
        <f t="shared" ref="M24" si="58">M23/M16</f>
        <v>-0.18864769472056922</v>
      </c>
      <c r="N24" s="5">
        <f t="shared" ref="N24" si="59">N23/N16</f>
        <v>3.234530609899005E-2</v>
      </c>
      <c r="O24" s="5">
        <f t="shared" ref="O24" si="60">O23/O16</f>
        <v>2.5045283866027414E-2</v>
      </c>
      <c r="P24" s="5">
        <f t="shared" ref="P24" si="61">P23/P16</f>
        <v>-0.13987073747621767</v>
      </c>
      <c r="Q24" s="5">
        <f t="shared" ref="Q24" si="62">Q23/Q16</f>
        <v>-6.6317556046165169E-2</v>
      </c>
      <c r="R24" s="5">
        <f t="shared" ref="R24" si="63">R23/R16</f>
        <v>1.873965355055229E-2</v>
      </c>
      <c r="S24" s="5">
        <f t="shared" ref="S24" si="64">S23/S16</f>
        <v>-0.14725203612011087</v>
      </c>
      <c r="T24" s="5">
        <f t="shared" ref="T24" si="65">T23/T16</f>
        <v>-5.7895741027326114E-2</v>
      </c>
      <c r="U24" s="5">
        <f t="shared" ref="U24" si="66">U23/U16</f>
        <v>2.0313065631642983E-2</v>
      </c>
      <c r="V24" s="5">
        <f t="shared" ref="V24" si="67">V23/V16</f>
        <v>4.8388969736201673E-2</v>
      </c>
      <c r="W24" s="5">
        <f t="shared" ref="W24" si="68">W23/W16</f>
        <v>6.4166062953708775E-2</v>
      </c>
      <c r="X24" s="5" t="e">
        <f t="shared" ref="X24" si="69">X23/X16</f>
        <v>#DIV/0!</v>
      </c>
      <c r="Y24" s="5" t="e">
        <f t="shared" ref="Y24" si="70">Y23/Y16</f>
        <v>#DIV/0!</v>
      </c>
      <c r="Z24" s="5" t="e">
        <f t="shared" ref="Z24" si="71">Z23/Z16</f>
        <v>#DIV/0!</v>
      </c>
    </row>
    <row r="26" spans="1:26" x14ac:dyDescent="0.3">
      <c r="B26" s="2">
        <f>B4</f>
        <v>2004</v>
      </c>
      <c r="C26" s="2">
        <f t="shared" ref="C26:W26" si="72">C4</f>
        <v>2005</v>
      </c>
      <c r="D26" s="2">
        <f t="shared" si="72"/>
        <v>2006</v>
      </c>
      <c r="E26" s="2">
        <f t="shared" si="72"/>
        <v>2007</v>
      </c>
      <c r="F26" s="2">
        <f t="shared" si="72"/>
        <v>2008</v>
      </c>
      <c r="G26" s="2">
        <f t="shared" si="72"/>
        <v>2009</v>
      </c>
      <c r="H26" s="2">
        <f t="shared" si="72"/>
        <v>2010</v>
      </c>
      <c r="I26" s="2">
        <f t="shared" si="72"/>
        <v>2011</v>
      </c>
      <c r="J26" s="2">
        <f t="shared" si="72"/>
        <v>2012</v>
      </c>
      <c r="K26" s="2">
        <f t="shared" si="72"/>
        <v>2013</v>
      </c>
      <c r="L26" s="2">
        <f t="shared" si="72"/>
        <v>2014</v>
      </c>
      <c r="M26" s="2">
        <f t="shared" si="72"/>
        <v>2015</v>
      </c>
      <c r="N26" s="2">
        <f t="shared" si="72"/>
        <v>2016</v>
      </c>
      <c r="O26" s="2">
        <f t="shared" si="72"/>
        <v>2017</v>
      </c>
      <c r="P26" s="2">
        <f t="shared" si="72"/>
        <v>2018</v>
      </c>
      <c r="Q26" s="2">
        <f t="shared" si="72"/>
        <v>2019</v>
      </c>
      <c r="R26" s="2">
        <f t="shared" si="72"/>
        <v>2020</v>
      </c>
      <c r="S26" s="2">
        <f t="shared" si="72"/>
        <v>2021</v>
      </c>
      <c r="T26" s="2">
        <f t="shared" si="72"/>
        <v>2022</v>
      </c>
      <c r="U26" s="2">
        <f t="shared" si="72"/>
        <v>2023</v>
      </c>
      <c r="V26" s="2">
        <f t="shared" si="72"/>
        <v>2024</v>
      </c>
      <c r="W26" s="2" t="str">
        <f t="shared" si="72"/>
        <v>2025Q1</v>
      </c>
    </row>
    <row r="27" spans="1:26" x14ac:dyDescent="0.3">
      <c r="A27" s="6" t="s">
        <v>15</v>
      </c>
      <c r="B27" s="1">
        <f t="shared" ref="B27:K27" si="73">B28+B29</f>
        <v>0</v>
      </c>
      <c r="C27" s="1">
        <f t="shared" si="73"/>
        <v>71996</v>
      </c>
      <c r="D27" s="1">
        <f t="shared" si="73"/>
        <v>75618</v>
      </c>
      <c r="E27" s="1">
        <f t="shared" si="73"/>
        <v>206505</v>
      </c>
      <c r="F27" s="1">
        <f t="shared" si="73"/>
        <v>358183</v>
      </c>
      <c r="G27" s="1">
        <f t="shared" si="73"/>
        <v>408438</v>
      </c>
      <c r="H27" s="1">
        <f t="shared" si="73"/>
        <v>403390</v>
      </c>
      <c r="I27" s="1">
        <f t="shared" si="73"/>
        <v>805254</v>
      </c>
      <c r="J27" s="1">
        <f t="shared" si="73"/>
        <v>1090023</v>
      </c>
      <c r="K27" s="1">
        <f t="shared" si="73"/>
        <v>922512</v>
      </c>
      <c r="L27" s="1">
        <f>L28+L29</f>
        <v>812932</v>
      </c>
      <c r="M27" s="1">
        <f>M28+M29</f>
        <v>652976</v>
      </c>
      <c r="N27" s="1">
        <f t="shared" ref="N27:T27" si="74">N28+N29</f>
        <v>672929</v>
      </c>
      <c r="O27" s="1">
        <f t="shared" si="74"/>
        <v>577829</v>
      </c>
      <c r="P27" s="1">
        <f t="shared" si="74"/>
        <v>508000</v>
      </c>
      <c r="Q27" s="1">
        <f t="shared" si="74"/>
        <v>427295</v>
      </c>
      <c r="R27" s="1">
        <f t="shared" si="74"/>
        <v>415073</v>
      </c>
      <c r="S27" s="1">
        <f t="shared" si="74"/>
        <v>703863</v>
      </c>
      <c r="T27" s="1">
        <f t="shared" si="74"/>
        <v>635412</v>
      </c>
      <c r="U27" s="1">
        <f t="shared" ref="U27" si="75">U28+U29</f>
        <v>687257</v>
      </c>
      <c r="V27" s="1">
        <f t="shared" ref="V27" si="76">V28+V29</f>
        <v>1396167</v>
      </c>
      <c r="W27" s="1">
        <f t="shared" ref="W27" si="77">W28+W29</f>
        <v>1862298</v>
      </c>
    </row>
    <row r="28" spans="1:26" x14ac:dyDescent="0.3">
      <c r="A28" s="3" t="s">
        <v>16</v>
      </c>
      <c r="C28" s="1">
        <v>71996</v>
      </c>
      <c r="D28" s="1">
        <v>56673</v>
      </c>
      <c r="E28" s="1">
        <v>157346</v>
      </c>
      <c r="F28" s="1">
        <v>304547</v>
      </c>
      <c r="G28" s="1">
        <v>303578</v>
      </c>
      <c r="H28" s="1">
        <v>233941</v>
      </c>
      <c r="I28" s="1">
        <v>707340</v>
      </c>
      <c r="J28" s="1">
        <v>835981</v>
      </c>
      <c r="K28" s="1">
        <v>691087</v>
      </c>
      <c r="L28" s="1">
        <v>590111</v>
      </c>
      <c r="M28" s="1">
        <v>450767</v>
      </c>
      <c r="N28" s="1">
        <v>459991</v>
      </c>
      <c r="O28" s="1">
        <v>387797</v>
      </c>
      <c r="P28" s="1">
        <v>377424</v>
      </c>
      <c r="Q28" s="1">
        <v>356960</v>
      </c>
      <c r="R28" s="1">
        <v>406724</v>
      </c>
      <c r="S28" s="1">
        <v>567869</v>
      </c>
      <c r="T28" s="1">
        <v>584895</v>
      </c>
      <c r="U28" s="1">
        <v>429436</v>
      </c>
      <c r="V28" s="1">
        <v>830280</v>
      </c>
      <c r="W28" s="1">
        <v>954848</v>
      </c>
    </row>
    <row r="29" spans="1:26" x14ac:dyDescent="0.3">
      <c r="A29" s="3" t="s">
        <v>17</v>
      </c>
      <c r="D29" s="1">
        <v>18945</v>
      </c>
      <c r="E29" s="1">
        <v>49159</v>
      </c>
      <c r="F29" s="1">
        <v>53636</v>
      </c>
      <c r="G29" s="1">
        <v>104860</v>
      </c>
      <c r="H29" s="1">
        <v>169449</v>
      </c>
      <c r="I29" s="1">
        <v>97914</v>
      </c>
      <c r="J29" s="1">
        <v>254042</v>
      </c>
      <c r="K29" s="1">
        <v>231425</v>
      </c>
      <c r="L29" s="1">
        <v>222821</v>
      </c>
      <c r="M29" s="1">
        <v>202209</v>
      </c>
      <c r="N29" s="1">
        <v>212938</v>
      </c>
      <c r="O29" s="1">
        <v>190032</v>
      </c>
      <c r="P29" s="1">
        <v>130576</v>
      </c>
      <c r="Q29" s="1">
        <v>70335</v>
      </c>
      <c r="R29" s="1">
        <v>8349</v>
      </c>
      <c r="S29" s="1">
        <v>135994</v>
      </c>
      <c r="T29" s="1">
        <v>50517</v>
      </c>
      <c r="U29" s="1">
        <v>257821</v>
      </c>
      <c r="V29" s="1">
        <v>565887</v>
      </c>
      <c r="W29" s="1">
        <v>907450</v>
      </c>
    </row>
    <row r="30" spans="1:26" s="5" customFormat="1" x14ac:dyDescent="0.3">
      <c r="A30" s="5" t="s">
        <v>21</v>
      </c>
      <c r="D30" s="5">
        <f>(D27-C27)/C27</f>
        <v>5.0308350463914665E-2</v>
      </c>
      <c r="E30" s="5">
        <f t="shared" ref="E30:W30" si="78">(E27-D27)/D27</f>
        <v>1.7308974053796715</v>
      </c>
      <c r="F30" s="5">
        <f t="shared" si="78"/>
        <v>0.73450037529357648</v>
      </c>
      <c r="G30" s="5">
        <f t="shared" si="78"/>
        <v>0.14030537462693651</v>
      </c>
      <c r="H30" s="5">
        <f t="shared" si="78"/>
        <v>-1.2359280967980453E-2</v>
      </c>
      <c r="I30" s="5">
        <f>(I27-H27)/H27</f>
        <v>0.99621706041299984</v>
      </c>
      <c r="J30" s="5">
        <f t="shared" si="78"/>
        <v>0.35363872765611842</v>
      </c>
      <c r="K30" s="5">
        <f t="shared" si="78"/>
        <v>-0.15367657379706667</v>
      </c>
      <c r="L30" s="5">
        <f t="shared" si="78"/>
        <v>-0.118784362696637</v>
      </c>
      <c r="M30" s="5">
        <f t="shared" si="78"/>
        <v>-0.19676430500952108</v>
      </c>
      <c r="N30" s="5">
        <f t="shared" si="78"/>
        <v>3.0557018940971795E-2</v>
      </c>
      <c r="O30" s="5">
        <f t="shared" si="78"/>
        <v>-0.14132248721633336</v>
      </c>
      <c r="P30" s="5">
        <f t="shared" si="78"/>
        <v>-0.12084717104887432</v>
      </c>
      <c r="Q30" s="5">
        <f t="shared" si="78"/>
        <v>-0.15886811023622047</v>
      </c>
      <c r="R30" s="5">
        <f t="shared" si="78"/>
        <v>-2.8603189833721433E-2</v>
      </c>
      <c r="S30" s="5">
        <f t="shared" si="78"/>
        <v>0.69575713187800703</v>
      </c>
      <c r="T30" s="5">
        <f t="shared" si="78"/>
        <v>-9.725045925130317E-2</v>
      </c>
      <c r="U30" s="5">
        <f t="shared" si="78"/>
        <v>8.1592730385954312E-2</v>
      </c>
      <c r="V30" s="5">
        <f t="shared" si="78"/>
        <v>1.0315064088106778</v>
      </c>
      <c r="W30" s="5">
        <f t="shared" si="78"/>
        <v>0.3338647883813326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B7AF-0F97-4F2E-941B-2000AA9C5897}">
  <dimension ref="B2:Q36"/>
  <sheetViews>
    <sheetView topLeftCell="A4" workbookViewId="0">
      <selection activeCell="C12" sqref="C12"/>
    </sheetView>
  </sheetViews>
  <sheetFormatPr defaultRowHeight="16.5" x14ac:dyDescent="0.3"/>
  <cols>
    <col min="2" max="2" width="4.375" bestFit="1" customWidth="1"/>
    <col min="3" max="3" width="11.625" bestFit="1" customWidth="1"/>
    <col min="5" max="5" width="14.75" bestFit="1" customWidth="1"/>
    <col min="6" max="6" width="13.75" customWidth="1"/>
    <col min="7" max="7" width="13.75" bestFit="1" customWidth="1"/>
    <col min="9" max="9" width="10.5" customWidth="1"/>
    <col min="10" max="10" width="13.125" style="24" bestFit="1" customWidth="1"/>
    <col min="11" max="11" width="10.875" style="24" customWidth="1"/>
    <col min="12" max="12" width="9.875" style="24" bestFit="1" customWidth="1"/>
    <col min="13" max="14" width="8.5" style="24" bestFit="1" customWidth="1"/>
    <col min="15" max="15" width="15.875" bestFit="1" customWidth="1"/>
    <col min="16" max="16" width="20.625" bestFit="1" customWidth="1"/>
  </cols>
  <sheetData>
    <row r="2" spans="2:17" x14ac:dyDescent="0.3">
      <c r="L2" s="1"/>
    </row>
    <row r="3" spans="2:17" x14ac:dyDescent="0.3">
      <c r="I3" s="1">
        <f>SUM(I7:I36)</f>
        <v>2117784</v>
      </c>
      <c r="J3" s="1">
        <f>SUM(J7:J36)</f>
        <v>2880033</v>
      </c>
      <c r="K3" s="1">
        <f>SUM(K7:K36)</f>
        <v>323478</v>
      </c>
      <c r="L3" s="1">
        <f>SUM(L7:L36)</f>
        <v>762249</v>
      </c>
      <c r="M3" s="1">
        <f>SUM(M7:M36)</f>
        <v>266877</v>
      </c>
      <c r="N3" s="1">
        <f>SUM(N7:N36)</f>
        <v>773570</v>
      </c>
      <c r="O3" t="s">
        <v>94</v>
      </c>
    </row>
    <row r="4" spans="2:17" ht="16.5" customHeight="1" x14ac:dyDescent="0.3">
      <c r="B4" s="36" t="s">
        <v>42</v>
      </c>
      <c r="C4" s="27" t="s">
        <v>43</v>
      </c>
      <c r="D4" s="39" t="s">
        <v>44</v>
      </c>
      <c r="E4" s="40"/>
      <c r="F4" s="40"/>
      <c r="G4" s="40"/>
      <c r="H4" s="41"/>
      <c r="I4" s="25"/>
      <c r="J4" s="42" t="s">
        <v>45</v>
      </c>
      <c r="K4" s="44" t="s">
        <v>46</v>
      </c>
      <c r="L4" s="45"/>
      <c r="M4" s="44" t="s">
        <v>47</v>
      </c>
      <c r="N4" s="45"/>
      <c r="O4" s="27" t="s">
        <v>48</v>
      </c>
      <c r="P4" s="30" t="s">
        <v>49</v>
      </c>
    </row>
    <row r="5" spans="2:17" x14ac:dyDescent="0.3">
      <c r="B5" s="37"/>
      <c r="C5" s="28"/>
      <c r="D5" s="33" t="s">
        <v>50</v>
      </c>
      <c r="E5" s="33" t="s">
        <v>51</v>
      </c>
      <c r="F5" s="33" t="s">
        <v>52</v>
      </c>
      <c r="G5" s="33" t="s">
        <v>53</v>
      </c>
      <c r="H5" s="9" t="s">
        <v>54</v>
      </c>
      <c r="I5" s="26" t="s">
        <v>15</v>
      </c>
      <c r="J5" s="43"/>
      <c r="K5" s="34" t="s">
        <v>56</v>
      </c>
      <c r="L5" s="34" t="s">
        <v>57</v>
      </c>
      <c r="M5" s="34" t="s">
        <v>56</v>
      </c>
      <c r="N5" s="34" t="s">
        <v>57</v>
      </c>
      <c r="O5" s="28"/>
      <c r="P5" s="31"/>
    </row>
    <row r="6" spans="2:17" x14ac:dyDescent="0.3">
      <c r="B6" s="38"/>
      <c r="C6" s="29"/>
      <c r="D6" s="29"/>
      <c r="E6" s="29"/>
      <c r="F6" s="29"/>
      <c r="G6" s="29"/>
      <c r="H6" s="10" t="s">
        <v>55</v>
      </c>
      <c r="I6" s="10"/>
      <c r="J6" s="35"/>
      <c r="K6" s="35"/>
      <c r="L6" s="35"/>
      <c r="M6" s="35"/>
      <c r="N6" s="35"/>
      <c r="O6" s="29"/>
      <c r="P6" s="32"/>
      <c r="Q6" t="s">
        <v>106</v>
      </c>
    </row>
    <row r="7" spans="2:17" ht="54" x14ac:dyDescent="0.3">
      <c r="B7" s="50">
        <v>29</v>
      </c>
      <c r="C7" s="51">
        <v>45772</v>
      </c>
      <c r="D7" s="52" t="s">
        <v>58</v>
      </c>
      <c r="E7" s="52" t="s">
        <v>114</v>
      </c>
      <c r="F7" s="51">
        <v>47026</v>
      </c>
      <c r="G7" s="52" t="s">
        <v>87</v>
      </c>
      <c r="H7" s="53" t="s">
        <v>60</v>
      </c>
      <c r="I7" s="54">
        <v>460905</v>
      </c>
      <c r="J7" s="54">
        <v>517732</v>
      </c>
      <c r="K7" s="54">
        <v>56827</v>
      </c>
      <c r="L7" s="54">
        <v>56827</v>
      </c>
      <c r="M7" s="54">
        <v>7220</v>
      </c>
      <c r="N7" s="54">
        <v>56864</v>
      </c>
      <c r="O7" s="52"/>
      <c r="P7" s="55" t="s">
        <v>65</v>
      </c>
      <c r="Q7" t="s">
        <v>107</v>
      </c>
    </row>
    <row r="8" spans="2:17" ht="54" x14ac:dyDescent="0.3">
      <c r="B8" s="20">
        <v>16</v>
      </c>
      <c r="C8" s="11">
        <v>45504</v>
      </c>
      <c r="D8" s="12" t="s">
        <v>63</v>
      </c>
      <c r="E8" s="12" t="s">
        <v>77</v>
      </c>
      <c r="F8" s="11">
        <v>47812</v>
      </c>
      <c r="G8" s="12" t="s">
        <v>60</v>
      </c>
      <c r="H8" s="13" t="s">
        <v>60</v>
      </c>
      <c r="I8" s="46">
        <v>270839</v>
      </c>
      <c r="J8" s="46">
        <v>274099</v>
      </c>
      <c r="K8" s="46">
        <v>2989</v>
      </c>
      <c r="L8" s="46">
        <v>3260</v>
      </c>
      <c r="M8" s="46">
        <v>0</v>
      </c>
      <c r="N8" s="46">
        <v>27410</v>
      </c>
      <c r="O8" s="12" t="s">
        <v>78</v>
      </c>
      <c r="P8" s="21" t="s">
        <v>65</v>
      </c>
      <c r="Q8" t="s">
        <v>108</v>
      </c>
    </row>
    <row r="9" spans="2:17" ht="54" x14ac:dyDescent="0.3">
      <c r="B9" s="20">
        <v>18</v>
      </c>
      <c r="C9" s="11">
        <v>45526</v>
      </c>
      <c r="D9" s="12" t="s">
        <v>80</v>
      </c>
      <c r="E9" s="12" t="s">
        <v>81</v>
      </c>
      <c r="F9" s="11">
        <v>47088</v>
      </c>
      <c r="G9" s="12" t="s">
        <v>60</v>
      </c>
      <c r="H9" s="13" t="s">
        <v>60</v>
      </c>
      <c r="I9" s="46">
        <v>225149</v>
      </c>
      <c r="J9" s="46">
        <v>239650</v>
      </c>
      <c r="K9" s="46">
        <v>14501</v>
      </c>
      <c r="L9" s="46">
        <v>14501</v>
      </c>
      <c r="M9" s="46">
        <v>0</v>
      </c>
      <c r="N9" s="46">
        <v>54204</v>
      </c>
      <c r="O9" s="12" t="s">
        <v>82</v>
      </c>
      <c r="P9" s="21" t="s">
        <v>65</v>
      </c>
      <c r="Q9" t="s">
        <v>109</v>
      </c>
    </row>
    <row r="10" spans="2:17" ht="54" x14ac:dyDescent="0.3">
      <c r="B10" s="50">
        <v>28</v>
      </c>
      <c r="C10" s="51">
        <v>45770</v>
      </c>
      <c r="D10" s="52" t="s">
        <v>63</v>
      </c>
      <c r="E10" s="52" t="s">
        <v>95</v>
      </c>
      <c r="F10" s="51">
        <v>46436</v>
      </c>
      <c r="G10" s="52" t="s">
        <v>87</v>
      </c>
      <c r="H10" s="53" t="s">
        <v>60</v>
      </c>
      <c r="I10" s="54">
        <v>163028</v>
      </c>
      <c r="J10" s="54">
        <v>163174</v>
      </c>
      <c r="K10" s="54">
        <v>146</v>
      </c>
      <c r="L10" s="54">
        <v>146</v>
      </c>
      <c r="M10" s="54">
        <v>24476</v>
      </c>
      <c r="N10" s="54">
        <v>24476</v>
      </c>
      <c r="O10" s="52"/>
      <c r="P10" s="55" t="s">
        <v>65</v>
      </c>
      <c r="Q10" t="s">
        <v>110</v>
      </c>
    </row>
    <row r="11" spans="2:17" ht="54" x14ac:dyDescent="0.3">
      <c r="B11" s="50">
        <v>25</v>
      </c>
      <c r="C11" s="51">
        <v>45700</v>
      </c>
      <c r="D11" s="52" t="s">
        <v>63</v>
      </c>
      <c r="E11" s="52" t="s">
        <v>90</v>
      </c>
      <c r="F11" s="51">
        <v>46218</v>
      </c>
      <c r="G11" s="52" t="s">
        <v>87</v>
      </c>
      <c r="H11" s="53" t="s">
        <v>60</v>
      </c>
      <c r="I11" s="54">
        <v>139032</v>
      </c>
      <c r="J11" s="54">
        <v>148603</v>
      </c>
      <c r="K11" s="54">
        <v>9571</v>
      </c>
      <c r="L11" s="54">
        <v>9571</v>
      </c>
      <c r="M11" s="54">
        <v>29162</v>
      </c>
      <c r="N11" s="54">
        <v>29162</v>
      </c>
      <c r="O11" s="52"/>
      <c r="P11" s="55" t="s">
        <v>65</v>
      </c>
      <c r="Q11" t="s">
        <v>110</v>
      </c>
    </row>
    <row r="12" spans="2:17" ht="54" x14ac:dyDescent="0.3">
      <c r="B12" s="50">
        <v>26</v>
      </c>
      <c r="C12" s="51">
        <v>45700</v>
      </c>
      <c r="D12" s="52" t="s">
        <v>63</v>
      </c>
      <c r="E12" s="52" t="s">
        <v>90</v>
      </c>
      <c r="F12" s="51">
        <v>46218</v>
      </c>
      <c r="G12" s="52" t="s">
        <v>87</v>
      </c>
      <c r="H12" s="53" t="s">
        <v>60</v>
      </c>
      <c r="I12" s="54">
        <v>135150</v>
      </c>
      <c r="J12" s="54">
        <v>144468</v>
      </c>
      <c r="K12" s="54">
        <v>9318</v>
      </c>
      <c r="L12" s="54">
        <v>9318</v>
      </c>
      <c r="M12" s="54">
        <v>28335</v>
      </c>
      <c r="N12" s="54">
        <v>28335</v>
      </c>
      <c r="O12" s="52"/>
      <c r="P12" s="55" t="s">
        <v>65</v>
      </c>
      <c r="Q12" t="s">
        <v>110</v>
      </c>
    </row>
    <row r="13" spans="2:17" ht="54" x14ac:dyDescent="0.3">
      <c r="B13" s="20">
        <v>15</v>
      </c>
      <c r="C13" s="11">
        <v>45443</v>
      </c>
      <c r="D13" s="12" t="s">
        <v>63</v>
      </c>
      <c r="E13" s="12" t="s">
        <v>77</v>
      </c>
      <c r="F13" s="11">
        <v>47515</v>
      </c>
      <c r="G13" s="12" t="s">
        <v>60</v>
      </c>
      <c r="H13" s="13" t="s">
        <v>60</v>
      </c>
      <c r="I13" s="46">
        <v>116876</v>
      </c>
      <c r="J13" s="46">
        <v>119440</v>
      </c>
      <c r="K13" s="46">
        <v>2120</v>
      </c>
      <c r="L13" s="46">
        <v>2564</v>
      </c>
      <c r="M13" s="46">
        <v>0</v>
      </c>
      <c r="N13" s="46">
        <v>11944</v>
      </c>
      <c r="O13" s="12" t="s">
        <v>78</v>
      </c>
      <c r="P13" s="21" t="s">
        <v>65</v>
      </c>
      <c r="Q13" t="s">
        <v>108</v>
      </c>
    </row>
    <row r="14" spans="2:17" ht="54" x14ac:dyDescent="0.3">
      <c r="B14" s="20">
        <v>20</v>
      </c>
      <c r="C14" s="11">
        <v>45608</v>
      </c>
      <c r="D14" s="12" t="s">
        <v>63</v>
      </c>
      <c r="E14" s="12" t="s">
        <v>76</v>
      </c>
      <c r="F14" s="11">
        <v>46111</v>
      </c>
      <c r="G14" s="12" t="s">
        <v>60</v>
      </c>
      <c r="H14" s="15">
        <v>1744</v>
      </c>
      <c r="I14" s="46">
        <v>107402</v>
      </c>
      <c r="J14" s="46">
        <v>122089</v>
      </c>
      <c r="K14" s="46">
        <v>14675</v>
      </c>
      <c r="L14" s="46">
        <v>14687</v>
      </c>
      <c r="M14" s="46">
        <v>12209</v>
      </c>
      <c r="N14" s="46">
        <v>12209</v>
      </c>
      <c r="O14" s="12" t="s">
        <v>60</v>
      </c>
      <c r="P14" s="21" t="s">
        <v>65</v>
      </c>
      <c r="Q14" t="s">
        <v>109</v>
      </c>
    </row>
    <row r="15" spans="2:17" ht="54" x14ac:dyDescent="0.3">
      <c r="B15" s="20">
        <v>21</v>
      </c>
      <c r="C15" s="11">
        <v>45621</v>
      </c>
      <c r="D15" s="12" t="s">
        <v>63</v>
      </c>
      <c r="E15" s="12" t="s">
        <v>85</v>
      </c>
      <c r="F15" s="11">
        <v>46461</v>
      </c>
      <c r="G15" s="12" t="s">
        <v>60</v>
      </c>
      <c r="H15" s="13" t="s">
        <v>60</v>
      </c>
      <c r="I15" s="46">
        <v>104345</v>
      </c>
      <c r="J15" s="46">
        <v>136900</v>
      </c>
      <c r="K15" s="46">
        <v>24487</v>
      </c>
      <c r="L15" s="46">
        <v>32555</v>
      </c>
      <c r="M15" s="46">
        <v>36350</v>
      </c>
      <c r="N15" s="46">
        <v>36350</v>
      </c>
      <c r="O15" s="12"/>
      <c r="P15" s="21" t="s">
        <v>65</v>
      </c>
      <c r="Q15" t="s">
        <v>109</v>
      </c>
    </row>
    <row r="16" spans="2:17" ht="54" x14ac:dyDescent="0.3">
      <c r="B16" s="20">
        <v>27</v>
      </c>
      <c r="C16" s="11">
        <v>45747</v>
      </c>
      <c r="D16" s="12" t="s">
        <v>63</v>
      </c>
      <c r="E16" s="12" t="s">
        <v>91</v>
      </c>
      <c r="F16" s="11">
        <v>47910</v>
      </c>
      <c r="G16" s="12" t="s">
        <v>87</v>
      </c>
      <c r="H16" s="13" t="s">
        <v>60</v>
      </c>
      <c r="I16" s="46">
        <v>66632</v>
      </c>
      <c r="J16" s="46">
        <v>66818</v>
      </c>
      <c r="K16" s="46">
        <v>186</v>
      </c>
      <c r="L16" s="46">
        <v>186</v>
      </c>
      <c r="M16" s="46">
        <v>0</v>
      </c>
      <c r="N16" s="46">
        <v>0</v>
      </c>
      <c r="O16" s="12" t="s">
        <v>92</v>
      </c>
      <c r="P16" s="21" t="s">
        <v>65</v>
      </c>
      <c r="Q16" t="s">
        <v>108</v>
      </c>
    </row>
    <row r="17" spans="2:17" ht="54" x14ac:dyDescent="0.3">
      <c r="B17" s="20">
        <v>24</v>
      </c>
      <c r="C17" s="11">
        <v>45699</v>
      </c>
      <c r="D17" s="12" t="s">
        <v>88</v>
      </c>
      <c r="E17" s="12" t="s">
        <v>89</v>
      </c>
      <c r="F17" s="11">
        <v>47330</v>
      </c>
      <c r="G17" s="12" t="s">
        <v>87</v>
      </c>
      <c r="H17" s="13" t="s">
        <v>60</v>
      </c>
      <c r="I17" s="46">
        <v>53169</v>
      </c>
      <c r="J17" s="46">
        <v>58597</v>
      </c>
      <c r="K17" s="46">
        <v>5428</v>
      </c>
      <c r="L17" s="46">
        <v>5428</v>
      </c>
      <c r="M17" s="46">
        <v>17579</v>
      </c>
      <c r="N17" s="46">
        <v>17579</v>
      </c>
      <c r="O17" s="12"/>
      <c r="P17" s="21" t="s">
        <v>65</v>
      </c>
      <c r="Q17" t="s">
        <v>109</v>
      </c>
    </row>
    <row r="18" spans="2:17" ht="54" x14ac:dyDescent="0.3">
      <c r="B18" s="20">
        <v>30</v>
      </c>
      <c r="C18" s="11">
        <v>45813</v>
      </c>
      <c r="D18" s="12" t="s">
        <v>88</v>
      </c>
      <c r="E18" s="12" t="s">
        <v>89</v>
      </c>
      <c r="F18" s="11">
        <v>47330</v>
      </c>
      <c r="G18" s="12" t="s">
        <v>87</v>
      </c>
      <c r="H18" s="13" t="s">
        <v>60</v>
      </c>
      <c r="I18" s="46">
        <v>46830</v>
      </c>
      <c r="J18" s="46">
        <v>46830</v>
      </c>
      <c r="K18" s="46">
        <v>0</v>
      </c>
      <c r="L18" s="46">
        <v>0</v>
      </c>
      <c r="M18" s="46">
        <v>0</v>
      </c>
      <c r="N18" s="46">
        <v>0</v>
      </c>
      <c r="O18" s="12" t="s">
        <v>93</v>
      </c>
      <c r="P18" s="21" t="s">
        <v>65</v>
      </c>
      <c r="Q18" t="s">
        <v>109</v>
      </c>
    </row>
    <row r="19" spans="2:17" ht="54" x14ac:dyDescent="0.3">
      <c r="B19" s="20">
        <v>22</v>
      </c>
      <c r="C19" s="11">
        <v>45643</v>
      </c>
      <c r="D19" s="12" t="s">
        <v>63</v>
      </c>
      <c r="E19" s="12" t="s">
        <v>86</v>
      </c>
      <c r="F19" s="11">
        <v>46142</v>
      </c>
      <c r="G19" s="12" t="s">
        <v>87</v>
      </c>
      <c r="H19" s="13" t="s">
        <v>60</v>
      </c>
      <c r="I19" s="46">
        <v>42371</v>
      </c>
      <c r="J19" s="46">
        <v>50666</v>
      </c>
      <c r="K19" s="46">
        <v>8279</v>
      </c>
      <c r="L19" s="46">
        <v>8295</v>
      </c>
      <c r="M19" s="46">
        <v>9703</v>
      </c>
      <c r="N19" s="46">
        <v>10133</v>
      </c>
      <c r="O19" s="12" t="s">
        <v>60</v>
      </c>
      <c r="P19" s="21" t="s">
        <v>65</v>
      </c>
      <c r="Q19" t="s">
        <v>111</v>
      </c>
    </row>
    <row r="20" spans="2:17" ht="54" x14ac:dyDescent="0.3">
      <c r="B20" s="20">
        <v>6</v>
      </c>
      <c r="C20" s="11">
        <v>44865</v>
      </c>
      <c r="D20" s="12" t="s">
        <v>63</v>
      </c>
      <c r="E20" s="12" t="s">
        <v>69</v>
      </c>
      <c r="F20" s="11">
        <v>46777</v>
      </c>
      <c r="G20" s="12" t="s">
        <v>60</v>
      </c>
      <c r="H20" s="13" t="s">
        <v>60</v>
      </c>
      <c r="I20" s="46">
        <v>41292</v>
      </c>
      <c r="J20" s="46">
        <v>90192</v>
      </c>
      <c r="K20" s="46">
        <v>10387</v>
      </c>
      <c r="L20" s="46">
        <v>48900</v>
      </c>
      <c r="M20" s="46">
        <v>1719</v>
      </c>
      <c r="N20" s="46">
        <v>49599</v>
      </c>
      <c r="O20" s="12" t="s">
        <v>60</v>
      </c>
      <c r="P20" s="21" t="s">
        <v>65</v>
      </c>
      <c r="Q20" t="s">
        <v>109</v>
      </c>
    </row>
    <row r="21" spans="2:17" ht="54" x14ac:dyDescent="0.3">
      <c r="B21" s="20">
        <v>23</v>
      </c>
      <c r="C21" s="11">
        <v>45699</v>
      </c>
      <c r="D21" s="12" t="s">
        <v>88</v>
      </c>
      <c r="E21" s="12" t="s">
        <v>89</v>
      </c>
      <c r="F21" s="11">
        <v>47299</v>
      </c>
      <c r="G21" s="12" t="s">
        <v>87</v>
      </c>
      <c r="H21" s="13" t="s">
        <v>60</v>
      </c>
      <c r="I21" s="46">
        <v>36926</v>
      </c>
      <c r="J21" s="46">
        <v>41540</v>
      </c>
      <c r="K21" s="46">
        <v>4614</v>
      </c>
      <c r="L21" s="46">
        <v>4614</v>
      </c>
      <c r="M21" s="46">
        <v>12462</v>
      </c>
      <c r="N21" s="46">
        <v>12462</v>
      </c>
      <c r="O21" s="12"/>
      <c r="P21" s="21" t="s">
        <v>65</v>
      </c>
      <c r="Q21" t="s">
        <v>109</v>
      </c>
    </row>
    <row r="22" spans="2:17" ht="54" x14ac:dyDescent="0.3">
      <c r="B22" s="20">
        <v>19</v>
      </c>
      <c r="C22" s="11">
        <v>45590</v>
      </c>
      <c r="D22" s="12" t="s">
        <v>58</v>
      </c>
      <c r="E22" s="12" t="s">
        <v>83</v>
      </c>
      <c r="F22" s="11">
        <v>46203</v>
      </c>
      <c r="G22" s="12" t="s">
        <v>60</v>
      </c>
      <c r="H22" s="13" t="s">
        <v>60</v>
      </c>
      <c r="I22" s="46">
        <v>20861</v>
      </c>
      <c r="J22" s="46">
        <v>21900</v>
      </c>
      <c r="K22" s="46">
        <v>1039</v>
      </c>
      <c r="L22" s="46">
        <v>1039</v>
      </c>
      <c r="M22" s="46">
        <v>0</v>
      </c>
      <c r="N22" s="46">
        <v>2649</v>
      </c>
      <c r="O22" s="12" t="s">
        <v>84</v>
      </c>
      <c r="P22" s="21" t="s">
        <v>65</v>
      </c>
      <c r="Q22" t="s">
        <v>109</v>
      </c>
    </row>
    <row r="23" spans="2:17" ht="54" x14ac:dyDescent="0.3">
      <c r="B23" s="20">
        <v>10</v>
      </c>
      <c r="C23" s="11">
        <v>45356</v>
      </c>
      <c r="D23" s="12" t="s">
        <v>63</v>
      </c>
      <c r="E23" s="12" t="s">
        <v>69</v>
      </c>
      <c r="F23" s="11">
        <v>46170</v>
      </c>
      <c r="G23" s="12" t="s">
        <v>60</v>
      </c>
      <c r="H23" s="13" t="s">
        <v>60</v>
      </c>
      <c r="I23" s="46">
        <v>19165</v>
      </c>
      <c r="J23" s="46">
        <v>47500</v>
      </c>
      <c r="K23" s="46">
        <v>14533</v>
      </c>
      <c r="L23" s="46">
        <v>28335</v>
      </c>
      <c r="M23" s="46">
        <v>10822</v>
      </c>
      <c r="N23" s="46">
        <v>15693</v>
      </c>
      <c r="O23" s="12" t="s">
        <v>60</v>
      </c>
      <c r="P23" s="21" t="s">
        <v>65</v>
      </c>
      <c r="Q23" t="s">
        <v>109</v>
      </c>
    </row>
    <row r="24" spans="2:17" ht="54" x14ac:dyDescent="0.3">
      <c r="B24" s="20">
        <v>12</v>
      </c>
      <c r="C24" s="11">
        <v>45356</v>
      </c>
      <c r="D24" s="12" t="s">
        <v>63</v>
      </c>
      <c r="E24" s="12" t="s">
        <v>74</v>
      </c>
      <c r="F24" s="11">
        <v>45933</v>
      </c>
      <c r="G24" s="12" t="s">
        <v>60</v>
      </c>
      <c r="H24" s="13" t="s">
        <v>60</v>
      </c>
      <c r="I24" s="46">
        <v>14216</v>
      </c>
      <c r="J24" s="46">
        <v>97056</v>
      </c>
      <c r="K24" s="46">
        <v>40150</v>
      </c>
      <c r="L24" s="46">
        <v>82840</v>
      </c>
      <c r="M24" s="46">
        <v>2871</v>
      </c>
      <c r="N24" s="46">
        <v>37027</v>
      </c>
      <c r="O24" s="12"/>
      <c r="P24" s="21" t="s">
        <v>65</v>
      </c>
      <c r="Q24" t="s">
        <v>110</v>
      </c>
    </row>
    <row r="25" spans="2:17" ht="54" x14ac:dyDescent="0.3">
      <c r="B25" s="20">
        <v>9</v>
      </c>
      <c r="C25" s="11">
        <v>45245</v>
      </c>
      <c r="D25" s="12" t="s">
        <v>63</v>
      </c>
      <c r="E25" s="12" t="s">
        <v>72</v>
      </c>
      <c r="F25" s="11">
        <v>46387</v>
      </c>
      <c r="G25" s="12" t="s">
        <v>60</v>
      </c>
      <c r="H25" s="13" t="s">
        <v>60</v>
      </c>
      <c r="I25" s="46">
        <v>9399</v>
      </c>
      <c r="J25" s="46">
        <v>16372</v>
      </c>
      <c r="K25" s="46">
        <v>4696</v>
      </c>
      <c r="L25" s="46">
        <v>6973</v>
      </c>
      <c r="M25" s="46">
        <v>0</v>
      </c>
      <c r="N25" s="46">
        <v>7368</v>
      </c>
      <c r="O25" s="12" t="s">
        <v>73</v>
      </c>
      <c r="P25" s="21" t="s">
        <v>65</v>
      </c>
      <c r="Q25" t="s">
        <v>108</v>
      </c>
    </row>
    <row r="26" spans="2:17" ht="54" x14ac:dyDescent="0.3">
      <c r="B26" s="20">
        <v>11</v>
      </c>
      <c r="C26" s="11">
        <v>45356</v>
      </c>
      <c r="D26" s="12" t="s">
        <v>63</v>
      </c>
      <c r="E26" s="12" t="s">
        <v>74</v>
      </c>
      <c r="F26" s="11">
        <v>45933</v>
      </c>
      <c r="G26" s="12" t="s">
        <v>60</v>
      </c>
      <c r="H26" s="13" t="s">
        <v>60</v>
      </c>
      <c r="I26" s="46">
        <v>9355</v>
      </c>
      <c r="J26" s="46">
        <v>104060</v>
      </c>
      <c r="K26" s="46">
        <v>43052</v>
      </c>
      <c r="L26" s="46">
        <v>94705</v>
      </c>
      <c r="M26" s="46">
        <v>9359</v>
      </c>
      <c r="N26" s="46">
        <v>45980</v>
      </c>
      <c r="O26" s="12"/>
      <c r="P26" s="21" t="s">
        <v>65</v>
      </c>
      <c r="Q26" t="s">
        <v>110</v>
      </c>
    </row>
    <row r="27" spans="2:17" ht="54" x14ac:dyDescent="0.3">
      <c r="B27" s="20">
        <v>14</v>
      </c>
      <c r="C27" s="11">
        <v>45385</v>
      </c>
      <c r="D27" s="12" t="s">
        <v>63</v>
      </c>
      <c r="E27" s="12" t="s">
        <v>76</v>
      </c>
      <c r="F27" s="11">
        <v>46386</v>
      </c>
      <c r="G27" s="12" t="s">
        <v>60</v>
      </c>
      <c r="H27" s="13" t="s">
        <v>60</v>
      </c>
      <c r="I27" s="46">
        <v>8363</v>
      </c>
      <c r="J27" s="46">
        <v>41200</v>
      </c>
      <c r="K27" s="46">
        <v>12473</v>
      </c>
      <c r="L27" s="46">
        <v>32837</v>
      </c>
      <c r="M27" s="46">
        <v>20811</v>
      </c>
      <c r="N27" s="46">
        <v>29206</v>
      </c>
      <c r="O27" s="12"/>
      <c r="P27" s="21" t="s">
        <v>65</v>
      </c>
      <c r="Q27" t="s">
        <v>109</v>
      </c>
    </row>
    <row r="28" spans="2:17" ht="54" customHeight="1" x14ac:dyDescent="0.3">
      <c r="B28" s="22">
        <v>13</v>
      </c>
      <c r="C28" s="16">
        <v>45377</v>
      </c>
      <c r="D28" s="17" t="s">
        <v>58</v>
      </c>
      <c r="E28" s="17" t="s">
        <v>75</v>
      </c>
      <c r="F28" s="16">
        <v>45930</v>
      </c>
      <c r="G28" s="17" t="s">
        <v>60</v>
      </c>
      <c r="H28" s="18" t="s">
        <v>60</v>
      </c>
      <c r="I28" s="46">
        <v>6435</v>
      </c>
      <c r="J28" s="47">
        <v>32941</v>
      </c>
      <c r="K28" s="47">
        <v>13257</v>
      </c>
      <c r="L28" s="47">
        <v>26506</v>
      </c>
      <c r="M28" s="47">
        <v>11947</v>
      </c>
      <c r="N28" s="47">
        <v>22026</v>
      </c>
      <c r="O28" s="17" t="s">
        <v>60</v>
      </c>
      <c r="P28" s="23" t="s">
        <v>65</v>
      </c>
      <c r="Q28" t="s">
        <v>109</v>
      </c>
    </row>
    <row r="29" spans="2:17" ht="54" customHeight="1" x14ac:dyDescent="0.3">
      <c r="B29" s="22">
        <v>17</v>
      </c>
      <c r="C29" s="16">
        <v>45512</v>
      </c>
      <c r="D29" s="17" t="s">
        <v>63</v>
      </c>
      <c r="E29" s="17" t="s">
        <v>79</v>
      </c>
      <c r="F29" s="16">
        <v>45978</v>
      </c>
      <c r="G29" s="17" t="s">
        <v>60</v>
      </c>
      <c r="H29" s="18" t="s">
        <v>60</v>
      </c>
      <c r="I29" s="46">
        <v>6244</v>
      </c>
      <c r="J29" s="47">
        <v>25124</v>
      </c>
      <c r="K29" s="47">
        <v>16468</v>
      </c>
      <c r="L29" s="47">
        <v>18880</v>
      </c>
      <c r="M29" s="47">
        <v>2456</v>
      </c>
      <c r="N29" s="47">
        <v>7447</v>
      </c>
      <c r="O29" s="17"/>
      <c r="P29" s="23" t="s">
        <v>65</v>
      </c>
      <c r="Q29" t="s">
        <v>109</v>
      </c>
    </row>
    <row r="30" spans="2:17" ht="54" customHeight="1" x14ac:dyDescent="0.3">
      <c r="B30" s="22">
        <v>8</v>
      </c>
      <c r="C30" s="16">
        <v>45203</v>
      </c>
      <c r="D30" s="17" t="s">
        <v>63</v>
      </c>
      <c r="E30" s="17" t="s">
        <v>71</v>
      </c>
      <c r="F30" s="16">
        <v>46203</v>
      </c>
      <c r="G30" s="17" t="s">
        <v>60</v>
      </c>
      <c r="H30" s="18" t="s">
        <v>60</v>
      </c>
      <c r="I30" s="46">
        <v>4809</v>
      </c>
      <c r="J30" s="47">
        <v>44850</v>
      </c>
      <c r="K30" s="47">
        <v>2453</v>
      </c>
      <c r="L30" s="47">
        <v>40041</v>
      </c>
      <c r="M30" s="47">
        <v>7933</v>
      </c>
      <c r="N30" s="47">
        <v>41358</v>
      </c>
      <c r="O30" s="17" t="s">
        <v>60</v>
      </c>
      <c r="P30" s="23" t="s">
        <v>65</v>
      </c>
      <c r="Q30" t="s">
        <v>109</v>
      </c>
    </row>
    <row r="31" spans="2:17" ht="54" customHeight="1" x14ac:dyDescent="0.3">
      <c r="B31" s="22">
        <v>5</v>
      </c>
      <c r="C31" s="16">
        <v>44572</v>
      </c>
      <c r="D31" s="17" t="s">
        <v>58</v>
      </c>
      <c r="E31" s="17" t="s">
        <v>68</v>
      </c>
      <c r="F31" s="16">
        <v>46492</v>
      </c>
      <c r="G31" s="17" t="s">
        <v>60</v>
      </c>
      <c r="H31" s="18" t="s">
        <v>60</v>
      </c>
      <c r="I31" s="46">
        <v>4318</v>
      </c>
      <c r="J31" s="47">
        <v>22930</v>
      </c>
      <c r="K31" s="47">
        <v>1130</v>
      </c>
      <c r="L31" s="47">
        <v>18612</v>
      </c>
      <c r="M31" s="47">
        <v>5424</v>
      </c>
      <c r="N31" s="47">
        <v>13790</v>
      </c>
      <c r="O31" s="17" t="s">
        <v>60</v>
      </c>
      <c r="P31" s="23" t="s">
        <v>65</v>
      </c>
      <c r="Q31" t="s">
        <v>109</v>
      </c>
    </row>
    <row r="32" spans="2:17" ht="54" customHeight="1" x14ac:dyDescent="0.3">
      <c r="B32" s="22">
        <v>3</v>
      </c>
      <c r="C32" s="16">
        <v>44497</v>
      </c>
      <c r="D32" s="17" t="s">
        <v>58</v>
      </c>
      <c r="E32" s="17" t="s">
        <v>66</v>
      </c>
      <c r="F32" s="16">
        <v>45945</v>
      </c>
      <c r="G32" s="17" t="s">
        <v>60</v>
      </c>
      <c r="H32" s="18" t="s">
        <v>60</v>
      </c>
      <c r="I32" s="46">
        <v>1843</v>
      </c>
      <c r="J32" s="47">
        <v>47681</v>
      </c>
      <c r="K32" s="47">
        <v>7815</v>
      </c>
      <c r="L32" s="47">
        <v>45838</v>
      </c>
      <c r="M32" s="47">
        <v>5899</v>
      </c>
      <c r="N32" s="47">
        <v>34935</v>
      </c>
      <c r="O32" s="17" t="s">
        <v>60</v>
      </c>
      <c r="P32" s="23" t="s">
        <v>65</v>
      </c>
      <c r="Q32" t="s">
        <v>109</v>
      </c>
    </row>
    <row r="33" spans="2:17" ht="54" customHeight="1" x14ac:dyDescent="0.3">
      <c r="B33" s="22">
        <v>7</v>
      </c>
      <c r="C33" s="16">
        <v>45068</v>
      </c>
      <c r="D33" s="17" t="s">
        <v>63</v>
      </c>
      <c r="E33" s="17" t="s">
        <v>70</v>
      </c>
      <c r="F33" s="16">
        <v>45884</v>
      </c>
      <c r="G33" s="17" t="s">
        <v>60</v>
      </c>
      <c r="H33" s="18" t="s">
        <v>60</v>
      </c>
      <c r="I33" s="46">
        <v>1711</v>
      </c>
      <c r="J33" s="47">
        <v>42650</v>
      </c>
      <c r="K33" s="47">
        <v>1775</v>
      </c>
      <c r="L33" s="47">
        <v>40939</v>
      </c>
      <c r="M33" s="47">
        <v>4657</v>
      </c>
      <c r="N33" s="47">
        <v>40147</v>
      </c>
      <c r="O33" s="17" t="s">
        <v>60</v>
      </c>
      <c r="P33" s="23" t="s">
        <v>65</v>
      </c>
      <c r="Q33" t="s">
        <v>109</v>
      </c>
    </row>
    <row r="34" spans="2:17" ht="54" customHeight="1" x14ac:dyDescent="0.3">
      <c r="B34" s="22">
        <v>2</v>
      </c>
      <c r="C34" s="16">
        <v>44035</v>
      </c>
      <c r="D34" s="17" t="s">
        <v>63</v>
      </c>
      <c r="E34" s="17" t="s">
        <v>64</v>
      </c>
      <c r="F34" s="16">
        <v>45868</v>
      </c>
      <c r="G34" s="17" t="s">
        <v>60</v>
      </c>
      <c r="H34" s="18" t="s">
        <v>60</v>
      </c>
      <c r="I34" s="46">
        <v>893</v>
      </c>
      <c r="J34" s="47">
        <v>51031</v>
      </c>
      <c r="K34" s="47">
        <v>823</v>
      </c>
      <c r="L34" s="47">
        <v>50138</v>
      </c>
      <c r="M34" s="47">
        <v>5139</v>
      </c>
      <c r="N34" s="47">
        <v>45615</v>
      </c>
      <c r="O34" s="17" t="s">
        <v>60</v>
      </c>
      <c r="P34" s="23" t="s">
        <v>65</v>
      </c>
      <c r="Q34" t="s">
        <v>109</v>
      </c>
    </row>
    <row r="35" spans="2:17" ht="54" customHeight="1" x14ac:dyDescent="0.3">
      <c r="B35" s="22">
        <v>1</v>
      </c>
      <c r="C35" s="16">
        <v>42529</v>
      </c>
      <c r="D35" s="17" t="s">
        <v>58</v>
      </c>
      <c r="E35" s="17" t="s">
        <v>112</v>
      </c>
      <c r="F35" s="16">
        <v>46022</v>
      </c>
      <c r="G35" s="17" t="s">
        <v>60</v>
      </c>
      <c r="H35" s="18" t="s">
        <v>60</v>
      </c>
      <c r="I35" s="46">
        <v>226</v>
      </c>
      <c r="J35" s="47">
        <v>9063</v>
      </c>
      <c r="K35" s="47">
        <v>0</v>
      </c>
      <c r="L35" s="47">
        <v>8837</v>
      </c>
      <c r="M35" s="47">
        <v>0</v>
      </c>
      <c r="N35" s="47">
        <v>4504</v>
      </c>
      <c r="O35" s="17" t="s">
        <v>61</v>
      </c>
      <c r="P35" s="23" t="s">
        <v>62</v>
      </c>
      <c r="Q35" t="s">
        <v>113</v>
      </c>
    </row>
    <row r="36" spans="2:17" ht="54" customHeight="1" x14ac:dyDescent="0.3">
      <c r="B36" s="22">
        <v>4</v>
      </c>
      <c r="C36" s="16">
        <v>44571</v>
      </c>
      <c r="D36" s="17" t="s">
        <v>63</v>
      </c>
      <c r="E36" s="17" t="s">
        <v>67</v>
      </c>
      <c r="F36" s="16">
        <v>45870</v>
      </c>
      <c r="G36" s="17" t="s">
        <v>60</v>
      </c>
      <c r="H36" s="18" t="s">
        <v>60</v>
      </c>
      <c r="I36" s="46">
        <v>0</v>
      </c>
      <c r="J36" s="47">
        <v>54877</v>
      </c>
      <c r="K36" s="47">
        <v>286</v>
      </c>
      <c r="L36" s="47">
        <v>54877</v>
      </c>
      <c r="M36" s="47">
        <v>344</v>
      </c>
      <c r="N36" s="47">
        <v>55098</v>
      </c>
      <c r="O36" s="17" t="s">
        <v>60</v>
      </c>
      <c r="P36" s="23" t="s">
        <v>65</v>
      </c>
      <c r="Q36" t="s">
        <v>109</v>
      </c>
    </row>
  </sheetData>
  <autoFilter ref="B6:P6" xr:uid="{D19FB7AF-0F97-4F2E-941B-2000AA9C5897}">
    <sortState xmlns:xlrd2="http://schemas.microsoft.com/office/spreadsheetml/2017/richdata2" ref="B7:P36">
      <sortCondition descending="1" ref="I6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AFA6-D8AD-4BBF-AD55-4336507D2FF8}">
  <dimension ref="B3:P31"/>
  <sheetViews>
    <sheetView workbookViewId="0">
      <selection activeCell="M4" sqref="M4"/>
    </sheetView>
  </sheetViews>
  <sheetFormatPr defaultRowHeight="16.5" x14ac:dyDescent="0.3"/>
  <cols>
    <col min="3" max="3" width="11.625" bestFit="1" customWidth="1"/>
    <col min="4" max="5" width="11" bestFit="1" customWidth="1"/>
    <col min="6" max="6" width="13.75" bestFit="1" customWidth="1"/>
    <col min="7" max="8" width="9" customWidth="1"/>
    <col min="9" max="9" width="13" bestFit="1" customWidth="1"/>
    <col min="10" max="10" width="9.25" bestFit="1" customWidth="1"/>
    <col min="11" max="13" width="7.125" bestFit="1" customWidth="1"/>
  </cols>
  <sheetData>
    <row r="3" spans="2:13" x14ac:dyDescent="0.3">
      <c r="H3" s="14">
        <f>SUM(H7:H31)</f>
        <v>1254390</v>
      </c>
      <c r="I3" s="14">
        <f>SUM(I7:I31)</f>
        <v>1843750</v>
      </c>
      <c r="J3" s="14">
        <f>SUM(J7:J31)</f>
        <v>292600</v>
      </c>
      <c r="K3" s="14">
        <f>SUM(K7:K31)</f>
        <v>589360</v>
      </c>
      <c r="L3" s="14">
        <f>SUM(L7:L31)</f>
        <v>322914</v>
      </c>
      <c r="M3" s="14">
        <f>SUM(M7:M31)</f>
        <v>574586</v>
      </c>
    </row>
    <row r="4" spans="2:13" ht="16.5" customHeight="1" x14ac:dyDescent="0.3">
      <c r="B4" s="36" t="s">
        <v>43</v>
      </c>
      <c r="C4" s="39" t="s">
        <v>44</v>
      </c>
      <c r="D4" s="40"/>
      <c r="E4" s="40"/>
      <c r="F4" s="40"/>
      <c r="G4" s="41"/>
      <c r="H4" s="25"/>
      <c r="I4" s="27" t="s">
        <v>45</v>
      </c>
      <c r="J4" s="39" t="s">
        <v>46</v>
      </c>
      <c r="K4" s="41"/>
      <c r="L4" s="39" t="s">
        <v>47</v>
      </c>
      <c r="M4" s="41"/>
    </row>
    <row r="5" spans="2:13" x14ac:dyDescent="0.3">
      <c r="B5" s="37"/>
      <c r="C5" s="33" t="s">
        <v>50</v>
      </c>
      <c r="D5" s="33" t="s">
        <v>51</v>
      </c>
      <c r="E5" s="33" t="s">
        <v>52</v>
      </c>
      <c r="F5" s="33" t="s">
        <v>53</v>
      </c>
      <c r="G5" s="9" t="s">
        <v>54</v>
      </c>
      <c r="H5" s="26"/>
      <c r="I5" s="28"/>
      <c r="J5" s="33" t="s">
        <v>56</v>
      </c>
      <c r="K5" s="33" t="s">
        <v>57</v>
      </c>
      <c r="L5" s="33" t="s">
        <v>56</v>
      </c>
      <c r="M5" s="33" t="s">
        <v>57</v>
      </c>
    </row>
    <row r="6" spans="2:13" x14ac:dyDescent="0.3">
      <c r="B6" s="38"/>
      <c r="C6" s="29"/>
      <c r="D6" s="29"/>
      <c r="E6" s="29"/>
      <c r="F6" s="29"/>
      <c r="G6" s="10" t="s">
        <v>55</v>
      </c>
      <c r="H6" s="10" t="s">
        <v>104</v>
      </c>
      <c r="I6" s="29"/>
      <c r="J6" s="29"/>
      <c r="K6" s="29"/>
      <c r="L6" s="29"/>
      <c r="M6" s="29"/>
    </row>
    <row r="7" spans="2:13" ht="54" customHeight="1" x14ac:dyDescent="0.3">
      <c r="B7" s="22">
        <v>19</v>
      </c>
      <c r="C7" s="48">
        <v>45504</v>
      </c>
      <c r="D7" s="17" t="s">
        <v>96</v>
      </c>
      <c r="E7" s="17" t="s">
        <v>101</v>
      </c>
      <c r="F7" s="48">
        <v>11287</v>
      </c>
      <c r="G7" s="17" t="s">
        <v>60</v>
      </c>
      <c r="H7" s="49">
        <v>273827</v>
      </c>
      <c r="I7" s="19">
        <v>274099</v>
      </c>
      <c r="J7" s="18">
        <v>272</v>
      </c>
      <c r="K7" s="18">
        <v>272</v>
      </c>
      <c r="L7" s="19">
        <v>27410</v>
      </c>
      <c r="M7" s="19">
        <v>27410</v>
      </c>
    </row>
    <row r="8" spans="2:13" ht="54" customHeight="1" x14ac:dyDescent="0.3">
      <c r="B8" s="22">
        <v>21</v>
      </c>
      <c r="C8" s="48">
        <v>45526</v>
      </c>
      <c r="D8" s="17" t="s">
        <v>103</v>
      </c>
      <c r="E8" s="17" t="s">
        <v>81</v>
      </c>
      <c r="F8" s="48">
        <v>47088</v>
      </c>
      <c r="G8" s="17" t="s">
        <v>60</v>
      </c>
      <c r="H8" s="49">
        <v>228640</v>
      </c>
      <c r="I8" s="19">
        <v>239650</v>
      </c>
      <c r="J8" s="19">
        <v>11010</v>
      </c>
      <c r="K8" s="19">
        <v>11010</v>
      </c>
      <c r="L8" s="19">
        <v>54204</v>
      </c>
      <c r="M8" s="19">
        <v>54204</v>
      </c>
    </row>
    <row r="9" spans="2:13" ht="54" customHeight="1" x14ac:dyDescent="0.3">
      <c r="B9" s="22">
        <v>24</v>
      </c>
      <c r="C9" s="48">
        <v>45621</v>
      </c>
      <c r="D9" s="17" t="s">
        <v>96</v>
      </c>
      <c r="E9" s="17" t="s">
        <v>85</v>
      </c>
      <c r="F9" s="48">
        <v>46461</v>
      </c>
      <c r="G9" s="17" t="s">
        <v>60</v>
      </c>
      <c r="H9" s="49">
        <v>128832</v>
      </c>
      <c r="I9" s="19">
        <v>136900</v>
      </c>
      <c r="J9" s="19">
        <v>8068</v>
      </c>
      <c r="K9" s="19">
        <v>8068</v>
      </c>
      <c r="L9" s="18">
        <v>0</v>
      </c>
      <c r="M9" s="18">
        <v>0</v>
      </c>
    </row>
    <row r="10" spans="2:13" ht="54" customHeight="1" x14ac:dyDescent="0.3">
      <c r="B10" s="22">
        <v>23</v>
      </c>
      <c r="C10" s="48">
        <v>45608</v>
      </c>
      <c r="D10" s="17" t="s">
        <v>96</v>
      </c>
      <c r="E10" s="17" t="s">
        <v>76</v>
      </c>
      <c r="F10" s="48">
        <v>46111</v>
      </c>
      <c r="G10" s="17" t="s">
        <v>60</v>
      </c>
      <c r="H10" s="49">
        <v>122078</v>
      </c>
      <c r="I10" s="19">
        <v>122089</v>
      </c>
      <c r="J10" s="18">
        <v>11</v>
      </c>
      <c r="K10" s="18">
        <v>11</v>
      </c>
      <c r="L10" s="18">
        <v>0</v>
      </c>
      <c r="M10" s="18">
        <v>0</v>
      </c>
    </row>
    <row r="11" spans="2:13" ht="54" customHeight="1" x14ac:dyDescent="0.3">
      <c r="B11" s="22">
        <v>18</v>
      </c>
      <c r="C11" s="48">
        <v>45443</v>
      </c>
      <c r="D11" s="17" t="s">
        <v>96</v>
      </c>
      <c r="E11" s="17" t="s">
        <v>101</v>
      </c>
      <c r="F11" s="48">
        <v>10990</v>
      </c>
      <c r="G11" s="17" t="s">
        <v>60</v>
      </c>
      <c r="H11" s="49">
        <v>118996</v>
      </c>
      <c r="I11" s="19">
        <v>119440</v>
      </c>
      <c r="J11" s="18">
        <v>444</v>
      </c>
      <c r="K11" s="18">
        <v>444</v>
      </c>
      <c r="L11" s="19">
        <v>11944</v>
      </c>
      <c r="M11" s="19">
        <v>11944</v>
      </c>
    </row>
    <row r="12" spans="2:13" ht="54" customHeight="1" x14ac:dyDescent="0.3">
      <c r="B12" s="22">
        <v>15</v>
      </c>
      <c r="C12" s="48">
        <v>45356</v>
      </c>
      <c r="D12" s="17" t="s">
        <v>96</v>
      </c>
      <c r="E12" s="17" t="s">
        <v>74</v>
      </c>
      <c r="F12" s="48">
        <v>45933</v>
      </c>
      <c r="G12" s="17" t="s">
        <v>60</v>
      </c>
      <c r="H12" s="49">
        <v>54366</v>
      </c>
      <c r="I12" s="19">
        <v>97056</v>
      </c>
      <c r="J12" s="19">
        <v>42690</v>
      </c>
      <c r="K12" s="19">
        <v>42690</v>
      </c>
      <c r="L12" s="19">
        <v>34156</v>
      </c>
      <c r="M12" s="19">
        <v>34156</v>
      </c>
    </row>
    <row r="13" spans="2:13" ht="54" customHeight="1" x14ac:dyDescent="0.3">
      <c r="B13" s="22">
        <v>14</v>
      </c>
      <c r="C13" s="48">
        <v>45356</v>
      </c>
      <c r="D13" s="17" t="s">
        <v>96</v>
      </c>
      <c r="E13" s="17" t="s">
        <v>74</v>
      </c>
      <c r="F13" s="48">
        <v>45933</v>
      </c>
      <c r="G13" s="17" t="s">
        <v>60</v>
      </c>
      <c r="H13" s="49">
        <v>52406</v>
      </c>
      <c r="I13" s="19">
        <v>104060</v>
      </c>
      <c r="J13" s="19">
        <v>51654</v>
      </c>
      <c r="K13" s="19">
        <v>51654</v>
      </c>
      <c r="L13" s="19">
        <v>36620</v>
      </c>
      <c r="M13" s="19">
        <v>36620</v>
      </c>
    </row>
    <row r="14" spans="2:13" ht="54" customHeight="1" x14ac:dyDescent="0.3">
      <c r="B14" s="22">
        <v>9</v>
      </c>
      <c r="C14" s="48">
        <v>44865</v>
      </c>
      <c r="D14" s="17" t="s">
        <v>96</v>
      </c>
      <c r="E14" s="17" t="s">
        <v>69</v>
      </c>
      <c r="F14" s="48">
        <v>46777</v>
      </c>
      <c r="G14" s="17" t="s">
        <v>60</v>
      </c>
      <c r="H14" s="49">
        <v>51679</v>
      </c>
      <c r="I14" s="19">
        <v>90192</v>
      </c>
      <c r="J14" s="19">
        <v>24847</v>
      </c>
      <c r="K14" s="19">
        <v>38513</v>
      </c>
      <c r="L14" s="19">
        <v>23104</v>
      </c>
      <c r="M14" s="19">
        <v>47880</v>
      </c>
    </row>
    <row r="15" spans="2:13" ht="54" customHeight="1" x14ac:dyDescent="0.3">
      <c r="B15" s="22">
        <v>25</v>
      </c>
      <c r="C15" s="48">
        <v>45643</v>
      </c>
      <c r="D15" s="17" t="s">
        <v>96</v>
      </c>
      <c r="E15" s="17" t="s">
        <v>105</v>
      </c>
      <c r="F15" s="48">
        <v>46142</v>
      </c>
      <c r="G15" s="17" t="s">
        <v>87</v>
      </c>
      <c r="H15" s="49">
        <v>50651</v>
      </c>
      <c r="I15" s="19">
        <v>50666</v>
      </c>
      <c r="J15" s="18">
        <v>15</v>
      </c>
      <c r="K15" s="18">
        <v>15</v>
      </c>
      <c r="L15" s="18">
        <v>430</v>
      </c>
      <c r="M15" s="18">
        <v>430</v>
      </c>
    </row>
    <row r="16" spans="2:13" ht="54" customHeight="1" x14ac:dyDescent="0.3">
      <c r="B16" s="22">
        <v>13</v>
      </c>
      <c r="C16" s="48">
        <v>45356</v>
      </c>
      <c r="D16" s="17" t="s">
        <v>96</v>
      </c>
      <c r="E16" s="17" t="s">
        <v>69</v>
      </c>
      <c r="F16" s="48">
        <v>46170</v>
      </c>
      <c r="G16" s="17" t="s">
        <v>60</v>
      </c>
      <c r="H16" s="49">
        <v>33698</v>
      </c>
      <c r="I16" s="19">
        <v>47500</v>
      </c>
      <c r="J16" s="19">
        <v>13802</v>
      </c>
      <c r="K16" s="19">
        <v>13802</v>
      </c>
      <c r="L16" s="19">
        <v>4871</v>
      </c>
      <c r="M16" s="19">
        <v>4871</v>
      </c>
    </row>
    <row r="17" spans="2:13" ht="54" customHeight="1" x14ac:dyDescent="0.3">
      <c r="B17" s="22">
        <v>20</v>
      </c>
      <c r="C17" s="48">
        <v>45512</v>
      </c>
      <c r="D17" s="17" t="s">
        <v>96</v>
      </c>
      <c r="E17" s="17" t="s">
        <v>102</v>
      </c>
      <c r="F17" s="48">
        <v>45978</v>
      </c>
      <c r="G17" s="17" t="s">
        <v>60</v>
      </c>
      <c r="H17" s="49">
        <v>22712</v>
      </c>
      <c r="I17" s="19">
        <v>25124</v>
      </c>
      <c r="J17" s="19">
        <v>2412</v>
      </c>
      <c r="K17" s="19">
        <v>2412</v>
      </c>
      <c r="L17" s="19">
        <v>4991</v>
      </c>
      <c r="M17" s="19">
        <v>4991</v>
      </c>
    </row>
    <row r="18" spans="2:13" ht="27" x14ac:dyDescent="0.3">
      <c r="B18" s="22">
        <v>22</v>
      </c>
      <c r="C18" s="48">
        <v>45590</v>
      </c>
      <c r="D18" s="17" t="s">
        <v>58</v>
      </c>
      <c r="E18" s="17" t="s">
        <v>83</v>
      </c>
      <c r="F18" s="48">
        <v>46203</v>
      </c>
      <c r="G18" s="17" t="s">
        <v>60</v>
      </c>
      <c r="H18" s="49">
        <v>21900</v>
      </c>
      <c r="I18" s="19">
        <v>21900</v>
      </c>
      <c r="J18" s="18">
        <v>0</v>
      </c>
      <c r="K18" s="18">
        <v>0</v>
      </c>
      <c r="L18" s="19">
        <v>2649</v>
      </c>
      <c r="M18" s="19">
        <v>2649</v>
      </c>
    </row>
    <row r="19" spans="2:13" ht="54" customHeight="1" x14ac:dyDescent="0.3">
      <c r="B19" s="22">
        <v>17</v>
      </c>
      <c r="C19" s="48">
        <v>45385</v>
      </c>
      <c r="D19" s="17" t="s">
        <v>96</v>
      </c>
      <c r="E19" s="17" t="s">
        <v>76</v>
      </c>
      <c r="F19" s="48">
        <v>46386</v>
      </c>
      <c r="G19" s="17" t="s">
        <v>60</v>
      </c>
      <c r="H19" s="49">
        <v>20836</v>
      </c>
      <c r="I19" s="19">
        <v>41200</v>
      </c>
      <c r="J19" s="19">
        <v>20364</v>
      </c>
      <c r="K19" s="19">
        <v>20364</v>
      </c>
      <c r="L19" s="19">
        <v>8395</v>
      </c>
      <c r="M19" s="19">
        <v>8395</v>
      </c>
    </row>
    <row r="20" spans="2:13" ht="54" customHeight="1" x14ac:dyDescent="0.3">
      <c r="B20" s="22">
        <v>16</v>
      </c>
      <c r="C20" s="48">
        <v>45377</v>
      </c>
      <c r="D20" s="17" t="s">
        <v>58</v>
      </c>
      <c r="E20" s="17" t="s">
        <v>75</v>
      </c>
      <c r="F20" s="48">
        <v>45930</v>
      </c>
      <c r="G20" s="17" t="s">
        <v>60</v>
      </c>
      <c r="H20" s="49">
        <v>19692</v>
      </c>
      <c r="I20" s="19">
        <v>32941</v>
      </c>
      <c r="J20" s="19">
        <v>13249</v>
      </c>
      <c r="K20" s="19">
        <v>13249</v>
      </c>
      <c r="L20" s="19">
        <v>10078</v>
      </c>
      <c r="M20" s="19">
        <v>10078</v>
      </c>
    </row>
    <row r="21" spans="2:13" ht="54" customHeight="1" x14ac:dyDescent="0.3">
      <c r="B21" s="22">
        <v>12</v>
      </c>
      <c r="C21" s="48">
        <v>45245</v>
      </c>
      <c r="D21" s="17" t="s">
        <v>96</v>
      </c>
      <c r="E21" s="17" t="s">
        <v>101</v>
      </c>
      <c r="F21" s="48">
        <v>46387</v>
      </c>
      <c r="G21" s="17" t="s">
        <v>60</v>
      </c>
      <c r="H21" s="49">
        <v>14094</v>
      </c>
      <c r="I21" s="19">
        <v>16372</v>
      </c>
      <c r="J21" s="19">
        <v>2194</v>
      </c>
      <c r="K21" s="19">
        <v>2278</v>
      </c>
      <c r="L21" s="19">
        <v>5730</v>
      </c>
      <c r="M21" s="19">
        <v>7368</v>
      </c>
    </row>
    <row r="22" spans="2:13" ht="54" customHeight="1" x14ac:dyDescent="0.3">
      <c r="B22" s="22">
        <v>5</v>
      </c>
      <c r="C22" s="48">
        <v>44790</v>
      </c>
      <c r="D22" s="17" t="s">
        <v>58</v>
      </c>
      <c r="E22" s="17" t="s">
        <v>99</v>
      </c>
      <c r="F22" s="48">
        <v>45763</v>
      </c>
      <c r="G22" s="17" t="s">
        <v>60</v>
      </c>
      <c r="H22" s="49">
        <v>10395</v>
      </c>
      <c r="I22" s="19">
        <v>51320</v>
      </c>
      <c r="J22" s="19">
        <v>7812</v>
      </c>
      <c r="K22" s="19">
        <v>40925</v>
      </c>
      <c r="L22" s="19">
        <v>27750</v>
      </c>
      <c r="M22" s="19">
        <v>41674</v>
      </c>
    </row>
    <row r="23" spans="2:13" ht="54" customHeight="1" x14ac:dyDescent="0.3">
      <c r="B23" s="22">
        <v>4</v>
      </c>
      <c r="C23" s="48">
        <v>44497</v>
      </c>
      <c r="D23" s="17" t="s">
        <v>58</v>
      </c>
      <c r="E23" s="17" t="s">
        <v>66</v>
      </c>
      <c r="F23" s="48">
        <v>45945</v>
      </c>
      <c r="G23" s="17" t="s">
        <v>60</v>
      </c>
      <c r="H23" s="49">
        <v>9918</v>
      </c>
      <c r="I23" s="19">
        <v>48961</v>
      </c>
      <c r="J23" s="19">
        <v>7453</v>
      </c>
      <c r="K23" s="19">
        <v>39043</v>
      </c>
      <c r="L23" s="19">
        <v>3261</v>
      </c>
      <c r="M23" s="19">
        <v>26329</v>
      </c>
    </row>
    <row r="24" spans="2:13" ht="27" x14ac:dyDescent="0.3">
      <c r="B24" s="22">
        <v>11</v>
      </c>
      <c r="C24" s="48">
        <v>45203</v>
      </c>
      <c r="D24" s="17" t="s">
        <v>96</v>
      </c>
      <c r="E24" s="17" t="s">
        <v>71</v>
      </c>
      <c r="F24" s="48">
        <v>46203</v>
      </c>
      <c r="G24" s="17" t="s">
        <v>60</v>
      </c>
      <c r="H24" s="49">
        <v>7262</v>
      </c>
      <c r="I24" s="19">
        <v>44850</v>
      </c>
      <c r="J24" s="19">
        <v>31152</v>
      </c>
      <c r="K24" s="19">
        <v>37588</v>
      </c>
      <c r="L24" s="19">
        <v>24455</v>
      </c>
      <c r="M24" s="19">
        <v>33425</v>
      </c>
    </row>
    <row r="25" spans="2:13" ht="27" x14ac:dyDescent="0.3">
      <c r="B25" s="22">
        <v>7</v>
      </c>
      <c r="C25" s="48">
        <v>44572</v>
      </c>
      <c r="D25" s="17" t="s">
        <v>58</v>
      </c>
      <c r="E25" s="17" t="s">
        <v>68</v>
      </c>
      <c r="F25" s="48">
        <v>46492</v>
      </c>
      <c r="G25" s="17" t="s">
        <v>60</v>
      </c>
      <c r="H25" s="49">
        <v>5448</v>
      </c>
      <c r="I25" s="19">
        <v>22930</v>
      </c>
      <c r="J25" s="19">
        <v>5406</v>
      </c>
      <c r="K25" s="19">
        <v>17482</v>
      </c>
      <c r="L25" s="19">
        <v>2216</v>
      </c>
      <c r="M25" s="19">
        <v>8366</v>
      </c>
    </row>
    <row r="26" spans="2:13" ht="54" customHeight="1" x14ac:dyDescent="0.3">
      <c r="B26" s="22">
        <v>10</v>
      </c>
      <c r="C26" s="48">
        <v>45068</v>
      </c>
      <c r="D26" s="17" t="s">
        <v>96</v>
      </c>
      <c r="E26" s="17" t="s">
        <v>70</v>
      </c>
      <c r="F26" s="48">
        <v>45884</v>
      </c>
      <c r="G26" s="17" t="s">
        <v>60</v>
      </c>
      <c r="H26" s="49">
        <v>3486</v>
      </c>
      <c r="I26" s="19">
        <v>42650</v>
      </c>
      <c r="J26" s="19">
        <v>38148</v>
      </c>
      <c r="K26" s="19">
        <v>39164</v>
      </c>
      <c r="L26" s="19">
        <v>18556</v>
      </c>
      <c r="M26" s="19">
        <v>35490</v>
      </c>
    </row>
    <row r="27" spans="2:13" ht="54" customHeight="1" x14ac:dyDescent="0.3">
      <c r="B27" s="22">
        <v>2</v>
      </c>
      <c r="C27" s="48">
        <v>44035</v>
      </c>
      <c r="D27" s="17" t="s">
        <v>96</v>
      </c>
      <c r="E27" s="17" t="s">
        <v>64</v>
      </c>
      <c r="F27" s="48">
        <v>45868</v>
      </c>
      <c r="G27" s="17" t="s">
        <v>60</v>
      </c>
      <c r="H27" s="49">
        <v>1716</v>
      </c>
      <c r="I27" s="19">
        <v>51031</v>
      </c>
      <c r="J27" s="19">
        <v>1503</v>
      </c>
      <c r="K27" s="19">
        <v>49315</v>
      </c>
      <c r="L27" s="18">
        <v>815</v>
      </c>
      <c r="M27" s="19">
        <v>40477</v>
      </c>
    </row>
    <row r="28" spans="2:13" ht="54" customHeight="1" x14ac:dyDescent="0.3">
      <c r="B28" s="22">
        <v>8</v>
      </c>
      <c r="C28" s="48">
        <v>44797</v>
      </c>
      <c r="D28" s="17" t="s">
        <v>96</v>
      </c>
      <c r="E28" s="17" t="s">
        <v>100</v>
      </c>
      <c r="F28" s="48">
        <v>45838</v>
      </c>
      <c r="G28" s="17" t="s">
        <v>60</v>
      </c>
      <c r="H28" s="49">
        <v>955</v>
      </c>
      <c r="I28" s="19">
        <v>36452</v>
      </c>
      <c r="J28" s="19">
        <v>6036</v>
      </c>
      <c r="K28" s="19">
        <v>35497</v>
      </c>
      <c r="L28" s="19">
        <v>9009</v>
      </c>
      <c r="M28" s="19">
        <v>36113</v>
      </c>
    </row>
    <row r="29" spans="2:13" ht="54" customHeight="1" x14ac:dyDescent="0.3">
      <c r="B29" s="22">
        <v>3</v>
      </c>
      <c r="C29" s="48">
        <v>44467</v>
      </c>
      <c r="D29" s="17" t="s">
        <v>97</v>
      </c>
      <c r="E29" s="17" t="s">
        <v>98</v>
      </c>
      <c r="F29" s="48">
        <v>45747</v>
      </c>
      <c r="G29" s="17" t="s">
        <v>60</v>
      </c>
      <c r="H29" s="49">
        <v>291</v>
      </c>
      <c r="I29" s="19">
        <v>62427</v>
      </c>
      <c r="J29" s="19">
        <v>3437</v>
      </c>
      <c r="K29" s="19">
        <v>62136</v>
      </c>
      <c r="L29" s="19">
        <v>11837</v>
      </c>
      <c r="M29" s="19">
        <v>42458</v>
      </c>
    </row>
    <row r="30" spans="2:13" ht="54" customHeight="1" x14ac:dyDescent="0.3">
      <c r="B30" s="22">
        <v>6</v>
      </c>
      <c r="C30" s="48">
        <v>44571</v>
      </c>
      <c r="D30" s="17" t="s">
        <v>96</v>
      </c>
      <c r="E30" s="17" t="s">
        <v>67</v>
      </c>
      <c r="F30" s="48">
        <v>45870</v>
      </c>
      <c r="G30" s="17" t="s">
        <v>60</v>
      </c>
      <c r="H30" s="49">
        <v>286</v>
      </c>
      <c r="I30" s="19">
        <v>54877</v>
      </c>
      <c r="J30" s="18">
        <v>621</v>
      </c>
      <c r="K30" s="19">
        <v>54591</v>
      </c>
      <c r="L30" s="18">
        <v>433</v>
      </c>
      <c r="M30" s="19">
        <v>54754</v>
      </c>
    </row>
    <row r="31" spans="2:13" ht="54" customHeight="1" x14ac:dyDescent="0.3">
      <c r="B31" s="22">
        <v>1</v>
      </c>
      <c r="C31" s="48">
        <v>42529</v>
      </c>
      <c r="D31" s="17" t="s">
        <v>58</v>
      </c>
      <c r="E31" s="17" t="s">
        <v>59</v>
      </c>
      <c r="F31" s="48">
        <v>46022</v>
      </c>
      <c r="G31" s="17" t="s">
        <v>60</v>
      </c>
      <c r="H31" s="49">
        <v>226</v>
      </c>
      <c r="I31" s="19">
        <v>9063</v>
      </c>
      <c r="J31" s="18">
        <v>0</v>
      </c>
      <c r="K31" s="19">
        <v>8837</v>
      </c>
      <c r="L31" s="18">
        <v>0</v>
      </c>
      <c r="M31" s="19">
        <v>4504</v>
      </c>
    </row>
  </sheetData>
  <autoFilter ref="B6:M6" xr:uid="{57F2AFA6-D8AD-4BBF-AD55-4336507D2FF8}">
    <sortState xmlns:xlrd2="http://schemas.microsoft.com/office/spreadsheetml/2017/richdata2" ref="B7:M31">
      <sortCondition descending="1" ref="H6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84D6-B0FE-4B53-8107-625DFB2A6F9C}">
  <dimension ref="A3:X26"/>
  <sheetViews>
    <sheetView workbookViewId="0">
      <pane xSplit="1" topLeftCell="Q1" activePane="topRight" state="frozen"/>
      <selection pane="topRight" activeCell="W15" sqref="W15"/>
    </sheetView>
  </sheetViews>
  <sheetFormatPr defaultRowHeight="16.5" x14ac:dyDescent="0.3"/>
  <cols>
    <col min="1" max="1" width="14.375" customWidth="1"/>
    <col min="19" max="19" width="13.875" bestFit="1" customWidth="1"/>
    <col min="20" max="20" width="14.75" bestFit="1" customWidth="1"/>
    <col min="21" max="21" width="13.75" customWidth="1"/>
    <col min="22" max="22" width="14" customWidth="1"/>
    <col min="23" max="23" width="14.75" bestFit="1" customWidth="1"/>
    <col min="24" max="24" width="15.875" bestFit="1" customWidth="1"/>
  </cols>
  <sheetData>
    <row r="3" spans="1:24" x14ac:dyDescent="0.3">
      <c r="W3" t="s">
        <v>24</v>
      </c>
    </row>
    <row r="4" spans="1:24" s="2" customFormat="1" ht="17.25" customHeight="1" x14ac:dyDescent="0.3">
      <c r="A4" s="2" t="s">
        <v>6</v>
      </c>
      <c r="B4" s="2">
        <v>2004</v>
      </c>
      <c r="C4" s="2">
        <v>2005</v>
      </c>
      <c r="D4" s="2">
        <v>2006</v>
      </c>
      <c r="E4" s="2">
        <v>2007</v>
      </c>
      <c r="F4" s="2">
        <v>2008</v>
      </c>
      <c r="G4" s="2">
        <v>2009</v>
      </c>
      <c r="H4" s="2">
        <v>2010</v>
      </c>
      <c r="I4" s="2">
        <v>2011</v>
      </c>
      <c r="J4" s="2">
        <v>2012</v>
      </c>
      <c r="K4" s="2">
        <v>2013</v>
      </c>
      <c r="L4" s="2">
        <v>2014</v>
      </c>
      <c r="M4" s="2">
        <v>2015</v>
      </c>
      <c r="N4" s="2">
        <v>2016</v>
      </c>
      <c r="O4" s="2">
        <v>2017</v>
      </c>
      <c r="P4" s="2">
        <v>2018</v>
      </c>
      <c r="Q4" s="2">
        <v>2019</v>
      </c>
      <c r="R4" s="2">
        <v>2020</v>
      </c>
      <c r="S4" s="2">
        <v>2021</v>
      </c>
      <c r="T4" s="2">
        <v>2022</v>
      </c>
      <c r="U4" s="2">
        <v>2023</v>
      </c>
      <c r="V4" s="2">
        <v>2024</v>
      </c>
      <c r="W4" s="2" t="s">
        <v>22</v>
      </c>
      <c r="X4" s="2" t="s">
        <v>34</v>
      </c>
    </row>
    <row r="5" spans="1:24" s="1" customFormat="1" x14ac:dyDescent="0.3">
      <c r="A5" s="1" t="s">
        <v>8</v>
      </c>
      <c r="S5" s="1">
        <v>234883716</v>
      </c>
      <c r="T5" s="1">
        <v>330197109</v>
      </c>
      <c r="U5" s="1">
        <v>367399208</v>
      </c>
      <c r="V5" s="1">
        <v>404741039</v>
      </c>
      <c r="W5" s="1">
        <v>304573841</v>
      </c>
      <c r="X5" s="1">
        <v>162299324</v>
      </c>
    </row>
    <row r="6" spans="1:24" s="1" customFormat="1" x14ac:dyDescent="0.3">
      <c r="A6" s="1" t="s">
        <v>10</v>
      </c>
      <c r="S6" s="1">
        <v>-6365802</v>
      </c>
      <c r="T6" s="1">
        <v>34931638</v>
      </c>
      <c r="U6" s="1">
        <v>43441587</v>
      </c>
      <c r="V6" s="1">
        <v>59118018</v>
      </c>
      <c r="W6" s="1">
        <v>53057965</v>
      </c>
      <c r="X6" s="1">
        <v>30272237</v>
      </c>
    </row>
    <row r="7" spans="1:24" s="5" customFormat="1" x14ac:dyDescent="0.3">
      <c r="A7" s="5" t="s">
        <v>23</v>
      </c>
      <c r="S7" s="5">
        <f t="shared" ref="S7:T7" si="0">S6/S5</f>
        <v>-2.7101929875802885E-2</v>
      </c>
      <c r="T7" s="5">
        <f t="shared" si="0"/>
        <v>0.10579025996257284</v>
      </c>
      <c r="U7" s="5">
        <f>U6/U5</f>
        <v>0.11824082919634384</v>
      </c>
      <c r="V7" s="5">
        <f>V6/V5</f>
        <v>0.14606380945718728</v>
      </c>
      <c r="W7" s="5">
        <f>W6/W5</f>
        <v>0.17420394616227072</v>
      </c>
      <c r="X7" s="5">
        <f>X6/X5</f>
        <v>0.18652102950225474</v>
      </c>
    </row>
    <row r="8" spans="1:24" s="1" customFormat="1" x14ac:dyDescent="0.3">
      <c r="A8" s="1" t="s">
        <v>9</v>
      </c>
      <c r="S8" s="1">
        <v>241249519</v>
      </c>
      <c r="T8" s="1">
        <v>295265471</v>
      </c>
      <c r="U8" s="1">
        <v>323657622</v>
      </c>
      <c r="V8" s="1">
        <v>345623021</v>
      </c>
      <c r="W8" s="1">
        <v>251515876</v>
      </c>
      <c r="X8" s="1">
        <v>139027087</v>
      </c>
    </row>
    <row r="9" spans="1:24" s="1" customFormat="1" x14ac:dyDescent="0.3"/>
    <row r="10" spans="1:24" s="1" customFormat="1" x14ac:dyDescent="0.3">
      <c r="A10" s="8" t="s">
        <v>35</v>
      </c>
      <c r="S10" s="8">
        <v>352312510</v>
      </c>
      <c r="T10" s="8">
        <v>352312510</v>
      </c>
      <c r="U10" s="8">
        <v>352312510</v>
      </c>
      <c r="V10" s="8">
        <v>382813780</v>
      </c>
      <c r="W10" s="8">
        <v>271741049</v>
      </c>
      <c r="X10" s="8">
        <v>148909530</v>
      </c>
    </row>
    <row r="11" spans="1:24" s="1" customFormat="1" x14ac:dyDescent="0.3">
      <c r="A11" s="1" t="s">
        <v>25</v>
      </c>
      <c r="S11" s="1">
        <v>118149580</v>
      </c>
      <c r="T11" s="1">
        <v>107443312</v>
      </c>
      <c r="U11" s="1">
        <v>92510020</v>
      </c>
      <c r="V11" s="1">
        <v>103199675</v>
      </c>
      <c r="W11" s="1">
        <v>57766797</v>
      </c>
      <c r="X11" s="1">
        <v>29461857</v>
      </c>
    </row>
    <row r="12" spans="1:24" s="1" customFormat="1" x14ac:dyDescent="0.3">
      <c r="A12" s="1" t="s">
        <v>26</v>
      </c>
      <c r="S12" s="1">
        <v>31065084</v>
      </c>
      <c r="T12" s="1">
        <v>33357715</v>
      </c>
      <c r="U12" s="1">
        <v>37304193</v>
      </c>
      <c r="V12" s="1">
        <v>43458932</v>
      </c>
      <c r="W12" s="1">
        <v>28573008</v>
      </c>
      <c r="X12" s="1">
        <v>14408900</v>
      </c>
    </row>
    <row r="13" spans="1:24" s="1" customFormat="1" x14ac:dyDescent="0.3">
      <c r="A13" s="1" t="s">
        <v>27</v>
      </c>
      <c r="S13" s="1">
        <v>8451273</v>
      </c>
      <c r="T13" s="1">
        <v>8194515</v>
      </c>
      <c r="U13" s="1">
        <v>8384344</v>
      </c>
      <c r="V13" s="1">
        <v>4360717</v>
      </c>
      <c r="W13" s="1">
        <v>2492676</v>
      </c>
      <c r="X13" s="1">
        <v>1258774</v>
      </c>
    </row>
    <row r="14" spans="1:24" s="1" customFormat="1" x14ac:dyDescent="0.3">
      <c r="A14" s="1" t="s">
        <v>33</v>
      </c>
      <c r="S14" s="1">
        <v>2334760</v>
      </c>
      <c r="T14" s="1">
        <v>2361849</v>
      </c>
      <c r="U14" s="1">
        <v>2210519</v>
      </c>
      <c r="V14" s="1">
        <v>1697179</v>
      </c>
      <c r="W14" s="1">
        <v>974788</v>
      </c>
      <c r="X14" s="1">
        <v>550811</v>
      </c>
    </row>
    <row r="15" spans="1:24" s="1" customFormat="1" x14ac:dyDescent="0.3">
      <c r="A15" s="1" t="s">
        <v>28</v>
      </c>
      <c r="S15" s="1">
        <v>9545010</v>
      </c>
      <c r="T15" s="1">
        <v>13135121</v>
      </c>
      <c r="U15" s="1">
        <v>13777995</v>
      </c>
      <c r="V15" s="1">
        <v>19144745</v>
      </c>
      <c r="W15" s="1">
        <v>12863686</v>
      </c>
      <c r="X15" s="1">
        <v>7520558</v>
      </c>
    </row>
    <row r="16" spans="1:24" s="1" customFormat="1" x14ac:dyDescent="0.3">
      <c r="A16" s="1" t="s">
        <v>29</v>
      </c>
      <c r="S16" s="1">
        <v>439149</v>
      </c>
      <c r="T16" s="1">
        <v>454860</v>
      </c>
      <c r="U16" s="1">
        <v>547485</v>
      </c>
      <c r="V16" s="1">
        <v>803576</v>
      </c>
      <c r="W16" s="1">
        <v>606457</v>
      </c>
      <c r="X16" s="1">
        <v>288791</v>
      </c>
    </row>
    <row r="17" spans="1:24" s="1" customFormat="1" x14ac:dyDescent="0.3">
      <c r="A17" s="1" t="s">
        <v>30</v>
      </c>
      <c r="S17" s="1">
        <v>68726184</v>
      </c>
      <c r="T17" s="1">
        <v>124425012</v>
      </c>
      <c r="U17" s="1">
        <v>162700676</v>
      </c>
      <c r="V17" s="1">
        <v>169062007</v>
      </c>
      <c r="W17" s="1">
        <v>143794807</v>
      </c>
      <c r="X17" s="1">
        <v>79728277</v>
      </c>
    </row>
    <row r="18" spans="1:24" s="1" customFormat="1" x14ac:dyDescent="0.3">
      <c r="A18" s="1" t="s">
        <v>31</v>
      </c>
      <c r="S18" s="1">
        <v>3344129</v>
      </c>
      <c r="T18" s="1">
        <v>12327057</v>
      </c>
      <c r="U18" s="1">
        <v>8820988</v>
      </c>
      <c r="V18" s="1">
        <v>3350557</v>
      </c>
      <c r="W18" s="1">
        <v>3965408</v>
      </c>
      <c r="X18" s="1">
        <v>2283173</v>
      </c>
    </row>
    <row r="19" spans="1:24" s="1" customFormat="1" x14ac:dyDescent="0.3">
      <c r="A19" s="1" t="s">
        <v>32</v>
      </c>
      <c r="S19" s="1">
        <v>23439427</v>
      </c>
      <c r="T19" s="1">
        <v>20389614</v>
      </c>
      <c r="U19" s="1">
        <v>26056290</v>
      </c>
      <c r="V19" s="1">
        <v>34736392</v>
      </c>
      <c r="W19" s="1">
        <v>20703422</v>
      </c>
      <c r="X19" s="1">
        <v>13408389</v>
      </c>
    </row>
    <row r="20" spans="1:24" s="1" customFormat="1" x14ac:dyDescent="0.3"/>
    <row r="21" spans="1:24" s="2" customFormat="1" ht="17.25" customHeight="1" x14ac:dyDescent="0.3">
      <c r="A21" s="2" t="s">
        <v>6</v>
      </c>
      <c r="B21" s="2">
        <v>2004</v>
      </c>
      <c r="C21" s="2">
        <v>2005</v>
      </c>
      <c r="D21" s="2">
        <v>2006</v>
      </c>
      <c r="E21" s="2">
        <v>2007</v>
      </c>
      <c r="F21" s="2">
        <v>2008</v>
      </c>
      <c r="G21" s="2">
        <v>2009</v>
      </c>
      <c r="H21" s="2">
        <v>2010</v>
      </c>
      <c r="I21" s="2">
        <v>2011</v>
      </c>
      <c r="J21" s="2">
        <v>2012</v>
      </c>
      <c r="K21" s="2">
        <v>2013</v>
      </c>
      <c r="L21" s="2">
        <v>2014</v>
      </c>
      <c r="M21" s="2">
        <v>2015</v>
      </c>
      <c r="N21" s="2">
        <v>2016</v>
      </c>
      <c r="O21" s="2">
        <v>2017</v>
      </c>
      <c r="P21" s="2">
        <v>2018</v>
      </c>
      <c r="Q21" s="2">
        <v>2019</v>
      </c>
      <c r="R21" s="2">
        <v>2020</v>
      </c>
      <c r="S21" s="2">
        <v>2021</v>
      </c>
      <c r="T21" s="2">
        <v>2022</v>
      </c>
      <c r="U21" s="2">
        <v>2023</v>
      </c>
      <c r="V21" s="2">
        <v>2024</v>
      </c>
      <c r="W21" s="2" t="s">
        <v>22</v>
      </c>
      <c r="X21" s="2" t="s">
        <v>34</v>
      </c>
    </row>
    <row r="22" spans="1:24" s="8" customFormat="1" x14ac:dyDescent="0.3">
      <c r="A22" s="8" t="s">
        <v>8</v>
      </c>
      <c r="S22" s="8">
        <f t="shared" ref="S22:T22" si="1">S5</f>
        <v>234883716</v>
      </c>
      <c r="T22" s="8">
        <f t="shared" si="1"/>
        <v>330197109</v>
      </c>
      <c r="U22" s="8">
        <f>U5</f>
        <v>367399208</v>
      </c>
      <c r="V22" s="8">
        <f>V5</f>
        <v>404741039</v>
      </c>
      <c r="W22" s="8">
        <f>W5</f>
        <v>304573841</v>
      </c>
      <c r="X22" s="8">
        <f>X5</f>
        <v>162299324</v>
      </c>
    </row>
    <row r="23" spans="1:24" s="8" customFormat="1" x14ac:dyDescent="0.3">
      <c r="A23" s="8" t="s">
        <v>30</v>
      </c>
      <c r="S23" s="8">
        <f t="shared" ref="S23:T23" si="2">S17</f>
        <v>68726184</v>
      </c>
      <c r="T23" s="8">
        <f t="shared" si="2"/>
        <v>124425012</v>
      </c>
      <c r="U23" s="8">
        <f>U17</f>
        <v>162700676</v>
      </c>
      <c r="V23" s="8">
        <f>V17</f>
        <v>169062007</v>
      </c>
      <c r="W23" s="8">
        <f>W17</f>
        <v>143794807</v>
      </c>
      <c r="X23" s="8">
        <f>X17</f>
        <v>79728277</v>
      </c>
    </row>
    <row r="24" spans="1:24" s="5" customFormat="1" x14ac:dyDescent="0.3">
      <c r="S24" s="5">
        <f t="shared" ref="S24:T24" si="3">S23/S22</f>
        <v>0.2925966310921273</v>
      </c>
      <c r="T24" s="5">
        <f t="shared" si="3"/>
        <v>0.37682041607456956</v>
      </c>
      <c r="U24" s="5">
        <f>U23/U22</f>
        <v>0.44284438413922766</v>
      </c>
      <c r="V24" s="5">
        <f>V23/V22</f>
        <v>0.41770413847260002</v>
      </c>
      <c r="W24" s="5">
        <f>W23/W22</f>
        <v>0.47211804706498089</v>
      </c>
      <c r="X24" s="5">
        <f>X23/X22</f>
        <v>0.49124220012154823</v>
      </c>
    </row>
    <row r="26" spans="1:24" x14ac:dyDescent="0.3">
      <c r="A26" t="s">
        <v>36</v>
      </c>
      <c r="R26" t="s">
        <v>41</v>
      </c>
      <c r="S26" t="s">
        <v>40</v>
      </c>
      <c r="T26" t="s">
        <v>39</v>
      </c>
      <c r="U26" t="s">
        <v>38</v>
      </c>
      <c r="V26" t="s">
        <v>37</v>
      </c>
      <c r="W26" t="s">
        <v>37</v>
      </c>
      <c r="X26" t="s">
        <v>37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5AF4-D99A-400B-A1E0-CF2657A1FBF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Sheet6</vt:lpstr>
      <vt:lpstr>컨퍼런스콜</vt:lpstr>
      <vt:lpstr>Sheet1</vt:lpstr>
      <vt:lpstr>2025H1</vt:lpstr>
      <vt:lpstr>2024</vt:lpstr>
      <vt:lpstr>비용의 성격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대윤 이</dc:creator>
  <cp:lastModifiedBy>대윤 이</cp:lastModifiedBy>
  <dcterms:created xsi:type="dcterms:W3CDTF">2025-06-08T13:05:00Z</dcterms:created>
  <dcterms:modified xsi:type="dcterms:W3CDTF">2025-10-03T13:30:09Z</dcterms:modified>
</cp:coreProperties>
</file>